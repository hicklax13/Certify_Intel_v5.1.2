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medium"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3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right" vertical="center"/>
    </xf>
    <xf numFmtId="0" fontId="4" fillId="3" borderId="2" pivotButton="0" quotePrefix="0" xfId="0"/>
    <xf numFmtId="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15" customWidth="1" min="3" max="3"/>
  </cols>
  <sheetData>
    <row r="1">
      <c r="A1" s="1" t="n"/>
      <c r="B1" s="2" t="inlineStr">
        <is>
          <t>Financial Statement</t>
        </is>
      </c>
      <c r="C1" s="3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n"/>
      <c r="B3" s="4" t="inlineStr">
        <is>
          <t>Line Item</t>
        </is>
      </c>
      <c r="C3" s="5" t="n">
        <v>2024</v>
      </c>
      <c r="D3" s="1" t="n"/>
      <c r="E3" s="1" t="n"/>
    </row>
    <row r="4">
      <c r="A4" s="1" t="n"/>
      <c r="B4" s="6" t="inlineStr">
        <is>
          <t>/01/</t>
        </is>
      </c>
      <c r="C4" s="7" t="n">
        <v>2024</v>
      </c>
      <c r="D4" s="1" t="n"/>
      <c r="E4" s="1" t="n"/>
    </row>
    <row r="5">
      <c r="A5" s="1" t="n"/>
      <c r="B5" s="6" t="inlineStr">
        <is>
          <t>210 Social Security</t>
        </is>
      </c>
      <c r="C5" s="7" t="n">
        <v>133058.9</v>
      </c>
      <c r="D5" s="1" t="n"/>
      <c r="E5" s="1" t="n"/>
    </row>
    <row r="6">
      <c r="A6" s="1" t="n"/>
      <c r="B6" s="6" t="inlineStr">
        <is>
          <t>220 Medicaid</t>
        </is>
      </c>
      <c r="C6" s="7" t="n">
        <v>120437.2</v>
      </c>
      <c r="D6" s="1" t="n"/>
      <c r="E6" s="1" t="n"/>
    </row>
    <row r="7">
      <c r="A7" s="1" t="n"/>
      <c r="B7" s="6" t="inlineStr">
        <is>
          <t>240 Additional Support</t>
        </is>
      </c>
      <c r="C7" s="7" t="n">
        <v>300</v>
      </c>
      <c r="D7" s="1" t="n"/>
      <c r="E7" s="1" t="n"/>
    </row>
    <row r="8">
      <c r="A8" s="1" t="n"/>
      <c r="B8" s="6" t="inlineStr">
        <is>
          <t>310 Payroll, Administrator</t>
        </is>
      </c>
      <c r="C8" s="7" t="n">
        <v>50055</v>
      </c>
      <c r="D8" s="1" t="n"/>
      <c r="E8" s="1" t="n"/>
    </row>
    <row r="9">
      <c r="A9" s="1" t="n"/>
      <c r="B9" s="6" t="inlineStr">
        <is>
          <t>320 Payroll, Certified Nursing Assistant</t>
        </is>
      </c>
      <c r="C9" s="7" t="n">
        <v>136472.5</v>
      </c>
      <c r="D9" s="1" t="n"/>
      <c r="E9" s="1" t="n"/>
    </row>
    <row r="10">
      <c r="A10" s="1" t="n"/>
      <c r="B10" s="6" t="inlineStr">
        <is>
          <t>335 Payroll, Project Manager</t>
        </is>
      </c>
      <c r="C10" s="7" t="n">
        <v>5000</v>
      </c>
      <c r="D10" s="1" t="n"/>
      <c r="E10" s="1" t="n"/>
    </row>
    <row r="11">
      <c r="A11" s="1" t="n"/>
      <c r="B11" s="6" t="inlineStr">
        <is>
          <t>360 Training</t>
        </is>
      </c>
      <c r="C11" s="7" t="n">
        <v>325</v>
      </c>
      <c r="D11" s="1" t="n"/>
      <c r="E11" s="1" t="n"/>
    </row>
    <row r="12">
      <c r="A12" s="1" t="n"/>
      <c r="B12" s="6" t="inlineStr">
        <is>
          <t>420 Bank fees</t>
        </is>
      </c>
      <c r="C12" s="7" t="n">
        <v>331.21</v>
      </c>
      <c r="D12" s="1" t="n"/>
      <c r="E12" s="1" t="n"/>
    </row>
    <row r="13">
      <c r="A13" s="1" t="n"/>
      <c r="B13" s="6" t="inlineStr">
        <is>
          <t>430 AHCA fees</t>
        </is>
      </c>
      <c r="C13" s="7" t="n">
        <v>1921.33</v>
      </c>
      <c r="D13" s="1" t="n"/>
      <c r="E13" s="1" t="n"/>
    </row>
    <row r="14">
      <c r="A14" s="1" t="n"/>
      <c r="B14" s="6" t="inlineStr">
        <is>
          <t>450 Legal &amp; Professinal Fees</t>
        </is>
      </c>
      <c r="C14" s="7" t="n">
        <v>8445.309999999999</v>
      </c>
      <c r="D14" s="1" t="n"/>
      <c r="E14" s="1" t="n"/>
    </row>
    <row r="15">
      <c r="A15" s="1" t="n"/>
      <c r="B15" s="6" t="inlineStr">
        <is>
          <t>470 Office operation</t>
        </is>
      </c>
      <c r="C15" s="7" t="n">
        <v>658.61</v>
      </c>
      <c r="D15" s="1" t="n"/>
      <c r="E15" s="1" t="n"/>
    </row>
    <row r="16">
      <c r="A16" s="1" t="n"/>
      <c r="B16" s="6" t="inlineStr">
        <is>
          <t>480 Advertising</t>
        </is>
      </c>
      <c r="C16" s="7" t="n">
        <v>99.51000000000001</v>
      </c>
      <c r="D16" s="1" t="n"/>
      <c r="E16" s="1" t="n"/>
    </row>
    <row r="17">
      <c r="A17" s="1" t="n"/>
      <c r="B17" s="6" t="inlineStr">
        <is>
          <t>490 Travel</t>
        </is>
      </c>
      <c r="C17" s="7" t="n">
        <v>3882.74</v>
      </c>
      <c r="D17" s="1" t="n"/>
      <c r="E17" s="1" t="n"/>
    </row>
    <row r="18">
      <c r="A18" s="1" t="n"/>
      <c r="B18" s="6" t="inlineStr">
        <is>
          <t>530 Insurance, Property</t>
        </is>
      </c>
      <c r="C18" s="7" t="n">
        <v>5769.93</v>
      </c>
      <c r="D18" s="1" t="n"/>
      <c r="E18" s="1" t="n"/>
    </row>
    <row r="19">
      <c r="A19" s="1" t="n"/>
      <c r="B19" s="6" t="inlineStr">
        <is>
          <t>540 Mortgage Interest</t>
        </is>
      </c>
      <c r="C19" s="7" t="n">
        <v>53478.96</v>
      </c>
      <c r="D19" s="1" t="n"/>
      <c r="E19" s="1" t="n"/>
    </row>
    <row r="20">
      <c r="A20" s="1" t="n"/>
      <c r="B20" s="6" t="inlineStr">
        <is>
          <t>550 Mortgage Interest (Hard Money)</t>
        </is>
      </c>
      <c r="C20" s="7" t="n">
        <v>31500</v>
      </c>
      <c r="D20" s="1" t="n"/>
      <c r="E20" s="1" t="n"/>
    </row>
    <row r="21">
      <c r="A21" s="1" t="n"/>
      <c r="B21" s="6" t="inlineStr">
        <is>
          <t>610 Water/Garbage/Sewer/Storm Water</t>
        </is>
      </c>
      <c r="C21" s="7" t="n">
        <v>16355.91</v>
      </c>
      <c r="D21" s="1" t="n"/>
      <c r="E21" s="1" t="n"/>
    </row>
    <row r="22">
      <c r="A22" s="1" t="n"/>
      <c r="B22" s="6" t="inlineStr">
        <is>
          <t>620 Electricity</t>
        </is>
      </c>
      <c r="C22" s="7" t="n">
        <v>4834.96</v>
      </c>
      <c r="D22" s="1" t="n"/>
      <c r="E22" s="1" t="n"/>
    </row>
    <row r="23">
      <c r="A23" s="1" t="n"/>
      <c r="B23" s="6" t="inlineStr">
        <is>
          <t>630 Gas</t>
        </is>
      </c>
      <c r="C23" s="7" t="n">
        <v>1439.43</v>
      </c>
      <c r="D23" s="1" t="n"/>
      <c r="E23" s="1" t="n"/>
    </row>
    <row r="24">
      <c r="A24" s="1" t="n"/>
      <c r="B24" s="8" t="inlineStr">
        <is>
          <t>650 Internet/Cable</t>
        </is>
      </c>
      <c r="C24" s="9">
        <f>SUM(C4:C23)</f>
        <v/>
      </c>
      <c r="D24" s="1" t="n"/>
      <c r="E24" s="1" t="n"/>
    </row>
    <row r="25">
      <c r="A25" s="1" t="n"/>
      <c r="B25" s="6" t="inlineStr">
        <is>
          <t>660 Phone/Fax</t>
        </is>
      </c>
      <c r="C25" s="7" t="n">
        <v>1370.9</v>
      </c>
      <c r="D25" s="1" t="n"/>
      <c r="E25" s="1" t="n"/>
    </row>
    <row r="26">
      <c r="A26" s="1" t="n"/>
      <c r="B26" s="6" t="inlineStr">
        <is>
          <t>670 Security</t>
        </is>
      </c>
      <c r="C26" s="7" t="n">
        <v>1884.21</v>
      </c>
      <c r="D26" s="1" t="n"/>
      <c r="E26" s="1" t="n"/>
    </row>
    <row r="27">
      <c r="A27" s="1" t="n"/>
      <c r="B27" s="6" t="inlineStr">
        <is>
          <t>710 Repairs</t>
        </is>
      </c>
      <c r="C27" s="7" t="n">
        <v>929.12</v>
      </c>
      <c r="D27" s="1" t="n"/>
      <c r="E27" s="1" t="n"/>
    </row>
    <row r="28">
      <c r="A28" s="1" t="n"/>
      <c r="B28" s="6" t="inlineStr">
        <is>
          <t>720 Cleaning and Maintenance</t>
        </is>
      </c>
      <c r="C28" s="7" t="n">
        <v>3292.33</v>
      </c>
      <c r="D28" s="1" t="n"/>
      <c r="E28" s="1" t="n"/>
    </row>
    <row r="29">
      <c r="A29" s="1" t="n"/>
      <c r="B29" s="6" t="inlineStr">
        <is>
          <t>740 Furniture</t>
        </is>
      </c>
      <c r="C29" s="7" t="n">
        <v>60</v>
      </c>
      <c r="D29" s="1" t="n"/>
      <c r="E29" s="1" t="n"/>
    </row>
    <row r="30">
      <c r="A30" s="1" t="n"/>
      <c r="B30" s="6" t="inlineStr">
        <is>
          <t>750 Improvements</t>
        </is>
      </c>
      <c r="C30" s="7" t="n">
        <v>72837.87</v>
      </c>
      <c r="D30" s="1" t="n"/>
      <c r="E30" s="1" t="n"/>
    </row>
    <row r="31">
      <c r="A31" s="1" t="n"/>
      <c r="B31" s="6" t="inlineStr">
        <is>
          <t>810 Food</t>
        </is>
      </c>
      <c r="C31" s="7" t="n">
        <v>30247.29</v>
      </c>
      <c r="D31" s="1" t="n"/>
      <c r="E31" s="1" t="n"/>
    </row>
    <row r="32">
      <c r="A32" s="1" t="n"/>
      <c r="B32" s="6" t="inlineStr">
        <is>
          <t>820 Housekeeping</t>
        </is>
      </c>
      <c r="C32" s="7" t="n">
        <v>270.46</v>
      </c>
      <c r="D32" s="1" t="n"/>
      <c r="E32" s="1" t="n"/>
    </row>
    <row r="33">
      <c r="A33" s="1" t="n"/>
      <c r="B33" s="6" t="inlineStr">
        <is>
          <t>840 Med supply</t>
        </is>
      </c>
      <c r="C33" s="7" t="n">
        <v>64.56999999999999</v>
      </c>
      <c r="D33" s="1" t="n"/>
      <c r="E33" s="1" t="n"/>
    </row>
    <row r="34">
      <c r="A34" s="1" t="n"/>
      <c r="B34" s="6" t="inlineStr">
        <is>
          <t>870 Resident Fund</t>
        </is>
      </c>
      <c r="C34" s="7" t="n">
        <v>5809</v>
      </c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2026-01-17T07:44:32Z</dcterms:created>
  <dcterms:modified xsi:type="dcterms:W3CDTF">2026-01-17T07:44:32Z</dcterms:modified>
</cp:coreProperties>
</file>