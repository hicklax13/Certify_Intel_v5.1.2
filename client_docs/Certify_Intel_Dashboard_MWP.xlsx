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onno\Downloads\Certify_Health_Intelv1\"/>
    </mc:Choice>
  </mc:AlternateContent>
  <xr:revisionPtr revIDLastSave="0" documentId="13_ncr:1_{65121D47-5E0B-46F8-9950-BAE36D15BFF3}" xr6:coauthVersionLast="47" xr6:coauthVersionMax="47" xr10:uidLastSave="{00000000-0000-0000-0000-000000000000}"/>
  <bookViews>
    <workbookView xWindow="28680" yWindow="-30" windowWidth="29040" windowHeight="15720" activeTab="6" xr2:uid="{00000000-000D-0000-FFFF-FFFF00000000}"/>
  </bookViews>
  <sheets>
    <sheet name="Competitors" sheetId="1" r:id="rId1"/>
    <sheet name="Dashboard" sheetId="2" r:id="rId2"/>
    <sheet name="Pricing Matrix" sheetId="3" r:id="rId3"/>
    <sheet name="Feature Matrix" sheetId="4" r:id="rId4"/>
    <sheet name="Market Segments" sheetId="5" r:id="rId5"/>
    <sheet name="Change Log" sheetId="6" r:id="rId6"/>
    <sheet name="Data Dictionary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2" l="1"/>
  <c r="B7" i="2"/>
  <c r="B6" i="2"/>
  <c r="B5" i="2"/>
  <c r="B4" i="2"/>
</calcChain>
</file>

<file path=xl/sharedStrings.xml><?xml version="1.0" encoding="utf-8"?>
<sst xmlns="http://schemas.openxmlformats.org/spreadsheetml/2006/main" count="585" uniqueCount="360">
  <si>
    <t>Competitor Name</t>
  </si>
  <si>
    <t>Website</t>
  </si>
  <si>
    <t>Status</t>
  </si>
  <si>
    <t>Threat Level</t>
  </si>
  <si>
    <t>Last Updated</t>
  </si>
  <si>
    <t>Notes</t>
  </si>
  <si>
    <t>Data Quality Score</t>
  </si>
  <si>
    <t>Pricing Model</t>
  </si>
  <si>
    <t>Base Price</t>
  </si>
  <si>
    <t>Price Unit</t>
  </si>
  <si>
    <t>Product Categories</t>
  </si>
  <si>
    <t>Key Features</t>
  </si>
  <si>
    <t>Integration Partners</t>
  </si>
  <si>
    <t>Certifications</t>
  </si>
  <si>
    <t>Target Segments</t>
  </si>
  <si>
    <t>Customer Size Focus</t>
  </si>
  <si>
    <t>Geographic Focus</t>
  </si>
  <si>
    <t>Customer Count</t>
  </si>
  <si>
    <t>Customer Acquisition Rate</t>
  </si>
  <si>
    <t>Key Customers</t>
  </si>
  <si>
    <t>G2 Rating</t>
  </si>
  <si>
    <t>Employee Count</t>
  </si>
  <si>
    <t>Employee Growth Rate</t>
  </si>
  <si>
    <t>Year Founded</t>
  </si>
  <si>
    <t>Headquarters</t>
  </si>
  <si>
    <t>Funding Total</t>
  </si>
  <si>
    <t>Latest Round</t>
  </si>
  <si>
    <t>PE/VC Backers</t>
  </si>
  <si>
    <t>Website Traffic (Monthly)</t>
  </si>
  <si>
    <t>Social Following</t>
  </si>
  <si>
    <t>Recent Product Launches</t>
  </si>
  <si>
    <t>News Mentions (30d)</t>
  </si>
  <si>
    <t>Phreesia</t>
  </si>
  <si>
    <t>https://www.phreesia.com</t>
  </si>
  <si>
    <t>Active</t>
  </si>
  <si>
    <t>High</t>
  </si>
  <si>
    <t>2026-01-17</t>
  </si>
  <si>
    <t>Per Visit</t>
  </si>
  <si>
    <t>$3.00</t>
  </si>
  <si>
    <t>per visit</t>
  </si>
  <si>
    <t>Intake; Payments; Scheduling</t>
  </si>
  <si>
    <t>Digital intake, Eligibility verification, Patient payments, Appointment reminders</t>
  </si>
  <si>
    <t>Epic; Cerner; Allscripts; athenahealth</t>
  </si>
  <si>
    <t>HIPAA; SOC2; HITRUST</t>
  </si>
  <si>
    <t>Health Systems; Large Practices</t>
  </si>
  <si>
    <t>Large (50+)</t>
  </si>
  <si>
    <t>US National</t>
  </si>
  <si>
    <t>3000+</t>
  </si>
  <si>
    <t>50+ new logos/year</t>
  </si>
  <si>
    <t>Listed on website</t>
  </si>
  <si>
    <t>4.5</t>
  </si>
  <si>
    <t>1500+</t>
  </si>
  <si>
    <t>15% YoY</t>
  </si>
  <si>
    <t>2005</t>
  </si>
  <si>
    <t>Raleigh, NC</t>
  </si>
  <si>
    <t>$300M+</t>
  </si>
  <si>
    <t>Public (NYSE: PHR)</t>
  </si>
  <si>
    <t>Public</t>
  </si>
  <si>
    <t>500K+</t>
  </si>
  <si>
    <t>50K+</t>
  </si>
  <si>
    <t>AI-powered intake (2024)</t>
  </si>
  <si>
    <t>25</t>
  </si>
  <si>
    <t>Clearwave</t>
  </si>
  <si>
    <t>https://www.clearwaveinc.com</t>
  </si>
  <si>
    <t>Per Provider</t>
  </si>
  <si>
    <t>$200</t>
  </si>
  <si>
    <t>per provider/month</t>
  </si>
  <si>
    <t>Intake; Eligibility; Payments</t>
  </si>
  <si>
    <t>Patient self-service, Insurance verification, Co-pay collection, Check-in kiosks</t>
  </si>
  <si>
    <t>Multiple EHR vendors</t>
  </si>
  <si>
    <t>HIPAA</t>
  </si>
  <si>
    <t>Specialty Practices; Ambulatory</t>
  </si>
  <si>
    <t>Medium (15-50)</t>
  </si>
  <si>
    <t>500+</t>
  </si>
  <si>
    <t>Monthly announcements</t>
  </si>
  <si>
    <t>Posted on LinkedIn</t>
  </si>
  <si>
    <t>4.2</t>
  </si>
  <si>
    <t>200+</t>
  </si>
  <si>
    <t>20% YoY</t>
  </si>
  <si>
    <t>2003</t>
  </si>
  <si>
    <t>Atlanta, GA</t>
  </si>
  <si>
    <t>$50M+</t>
  </si>
  <si>
    <t>Series C</t>
  </si>
  <si>
    <t>Private equity backed</t>
  </si>
  <si>
    <t>5K+</t>
  </si>
  <si>
    <t>Clearwave AI launch</t>
  </si>
  <si>
    <t>15</t>
  </si>
  <si>
    <t>Epion Health</t>
  </si>
  <si>
    <t>https://epionhealth.com</t>
  </si>
  <si>
    <t>Medium</t>
  </si>
  <si>
    <t>Per Location</t>
  </si>
  <si>
    <t>Unknown</t>
  </si>
  <si>
    <t>per month</t>
  </si>
  <si>
    <t>Intake; Check-in</t>
  </si>
  <si>
    <t>Patient check-in, Digital forms, Wait time management</t>
  </si>
  <si>
    <t>Major EHR vendors</t>
  </si>
  <si>
    <t>Health Systems; Enterprise</t>
  </si>
  <si>
    <t>300+</t>
  </si>
  <si>
    <t>Health systems</t>
  </si>
  <si>
    <t>4.0</t>
  </si>
  <si>
    <t>Acquired</t>
  </si>
  <si>
    <t>2011</t>
  </si>
  <si>
    <t>Acquired by Kyruus</t>
  </si>
  <si>
    <t>$40M</t>
  </si>
  <si>
    <t>Acquisition</t>
  </si>
  <si>
    <t>Kyruus</t>
  </si>
  <si>
    <t>25K+</t>
  </si>
  <si>
    <t>5K</t>
  </si>
  <si>
    <t>Kyruus integration</t>
  </si>
  <si>
    <t>5</t>
  </si>
  <si>
    <t>Tonic Health</t>
  </si>
  <si>
    <t>https://tonicforhealth.com</t>
  </si>
  <si>
    <t>Subscription</t>
  </si>
  <si>
    <t>Intake Forms; Patient Engagement</t>
  </si>
  <si>
    <t>Smart forms, Conditional logic, EHR integration</t>
  </si>
  <si>
    <t>Limited</t>
  </si>
  <si>
    <t>SMB Practices</t>
  </si>
  <si>
    <t>Small (1-15)</t>
  </si>
  <si>
    <t>US</t>
  </si>
  <si>
    <t>50+</t>
  </si>
  <si>
    <t>2015</t>
  </si>
  <si>
    <t>Seed/Series A</t>
  </si>
  <si>
    <t>10K</t>
  </si>
  <si>
    <t>1K</t>
  </si>
  <si>
    <t>2</t>
  </si>
  <si>
    <t>AdvancedMD</t>
  </si>
  <si>
    <t>https://www.advancedmd.com</t>
  </si>
  <si>
    <t>$400</t>
  </si>
  <si>
    <t>PM; EHR; Intake; RCM</t>
  </si>
  <si>
    <t>Full practice management, EHR, Billing, Patient portal</t>
  </si>
  <si>
    <t>Own EHR ecosystem</t>
  </si>
  <si>
    <t>HIPAA; SOC2</t>
  </si>
  <si>
    <t>Independent Practices</t>
  </si>
  <si>
    <t>40000+</t>
  </si>
  <si>
    <t>Strong</t>
  </si>
  <si>
    <t>Many case studies</t>
  </si>
  <si>
    <t>4.3</t>
  </si>
  <si>
    <t>800+</t>
  </si>
  <si>
    <t>10% YoY</t>
  </si>
  <si>
    <t>1999</t>
  </si>
  <si>
    <t>Salt Lake City, UT</t>
  </si>
  <si>
    <t>$100M+</t>
  </si>
  <si>
    <t>PE Owned</t>
  </si>
  <si>
    <t>Global Payments</t>
  </si>
  <si>
    <t>100K+</t>
  </si>
  <si>
    <t>Telehealth updates</t>
  </si>
  <si>
    <t>20</t>
  </si>
  <si>
    <t>Kareo (Tebra)</t>
  </si>
  <si>
    <t>https://www.kareo.com</t>
  </si>
  <si>
    <t>Tiered</t>
  </si>
  <si>
    <t>$150</t>
  </si>
  <si>
    <t>starting price</t>
  </si>
  <si>
    <t>PM; EHR; Billing</t>
  </si>
  <si>
    <t>Practice management, Billing, EHR, Patient engagement</t>
  </si>
  <si>
    <t>Many third-party integrations</t>
  </si>
  <si>
    <t>75000+</t>
  </si>
  <si>
    <t>High volume</t>
  </si>
  <si>
    <t>Case studies available</t>
  </si>
  <si>
    <t>4.1</t>
  </si>
  <si>
    <t>1000+</t>
  </si>
  <si>
    <t>Merged</t>
  </si>
  <si>
    <t>2004</t>
  </si>
  <si>
    <t>Irvine, CA</t>
  </si>
  <si>
    <t>Merged with PatientPop</t>
  </si>
  <si>
    <t>PE Backed</t>
  </si>
  <si>
    <t>200K+</t>
  </si>
  <si>
    <t>20K+</t>
  </si>
  <si>
    <t>Tebra rebrand</t>
  </si>
  <si>
    <t>SimplePractice</t>
  </si>
  <si>
    <t>https://www.simplepractice.com</t>
  </si>
  <si>
    <t>Low</t>
  </si>
  <si>
    <t>$29</t>
  </si>
  <si>
    <t>per month starting</t>
  </si>
  <si>
    <t>PM; Intake; Telehealth</t>
  </si>
  <si>
    <t>Practice management, Telehealth, Client portal, Billing</t>
  </si>
  <si>
    <t>Limited to behavioral health</t>
  </si>
  <si>
    <t>Behavioral Health; Solo</t>
  </si>
  <si>
    <t>Solo</t>
  </si>
  <si>
    <t>100000+</t>
  </si>
  <si>
    <t>Very high</t>
  </si>
  <si>
    <t>Testimonials</t>
  </si>
  <si>
    <t>4.6</t>
  </si>
  <si>
    <t>2012</t>
  </si>
  <si>
    <t>Los Angeles, CA</t>
  </si>
  <si>
    <t>Series B</t>
  </si>
  <si>
    <t>Insight Partners</t>
  </si>
  <si>
    <t>400K+</t>
  </si>
  <si>
    <t>AI notes</t>
  </si>
  <si>
    <t>10</t>
  </si>
  <si>
    <t>NextGen Healthcare</t>
  </si>
  <si>
    <t>https://www.nextgen.com</t>
  </si>
  <si>
    <t>Enterprise</t>
  </si>
  <si>
    <t>Custom</t>
  </si>
  <si>
    <t>custom pricing</t>
  </si>
  <si>
    <t>EHR; PM; RCM</t>
  </si>
  <si>
    <t>Enterprise EHR, Population health, RCM, Interoperability</t>
  </si>
  <si>
    <t>Own ecosystem</t>
  </si>
  <si>
    <t>All major</t>
  </si>
  <si>
    <t>Ambulatory; Specialty</t>
  </si>
  <si>
    <t>Enterprise sales</t>
  </si>
  <si>
    <t>3.8</t>
  </si>
  <si>
    <t>5% YoY</t>
  </si>
  <si>
    <t>1974</t>
  </si>
  <si>
    <t>$500M+</t>
  </si>
  <si>
    <t>Public (NASDAQ: NXGN)</t>
  </si>
  <si>
    <t>300K+</t>
  </si>
  <si>
    <t>Platform updates</t>
  </si>
  <si>
    <t>30</t>
  </si>
  <si>
    <t>Solutionreach</t>
  </si>
  <si>
    <t>https://www.solutionreach.com</t>
  </si>
  <si>
    <t>$299</t>
  </si>
  <si>
    <t>per location/month</t>
  </si>
  <si>
    <t>Patient Engagement; Reminders</t>
  </si>
  <si>
    <t>Appointment reminders, Reviews, Recalls, Two-way texting</t>
  </si>
  <si>
    <t>Many EHR/PM systems</t>
  </si>
  <si>
    <t>Multi-specialty; Dental</t>
  </si>
  <si>
    <t>25000+</t>
  </si>
  <si>
    <t>Good</t>
  </si>
  <si>
    <t>Many logos</t>
  </si>
  <si>
    <t>400+</t>
  </si>
  <si>
    <t>2000</t>
  </si>
  <si>
    <t>Lehi, UT</t>
  </si>
  <si>
    <t>Marlin Equity</t>
  </si>
  <si>
    <t>75K+</t>
  </si>
  <si>
    <t>10K+</t>
  </si>
  <si>
    <t>AI messaging</t>
  </si>
  <si>
    <t>12</t>
  </si>
  <si>
    <t>Doctible</t>
  </si>
  <si>
    <t>https://www.doctible.com</t>
  </si>
  <si>
    <t>per location</t>
  </si>
  <si>
    <t>Patient Engagement; Reviews</t>
  </si>
  <si>
    <t>Online scheduling, Reviews, Reminders, Patient communication</t>
  </si>
  <si>
    <t>Multiple dental/medical</t>
  </si>
  <si>
    <t>Dental; Medical</t>
  </si>
  <si>
    <t>Growing</t>
  </si>
  <si>
    <t>On website</t>
  </si>
  <si>
    <t>4.7</t>
  </si>
  <si>
    <t>100+</t>
  </si>
  <si>
    <t>San Diego, CA</t>
  </si>
  <si>
    <t>Luma Health</t>
  </si>
  <si>
    <t>https://www.lumahealth.io</t>
  </si>
  <si>
    <t>Patient Engagement; Scheduling</t>
  </si>
  <si>
    <t>Patient scheduling, Referral management, Waitlist, Communication</t>
  </si>
  <si>
    <t>Major EHRs</t>
  </si>
  <si>
    <t>Health Systems; Specialty</t>
  </si>
  <si>
    <t>4.8</t>
  </si>
  <si>
    <t>San Francisco, CA</t>
  </si>
  <si>
    <t>VC Backed</t>
  </si>
  <si>
    <t>30K+</t>
  </si>
  <si>
    <t>AI scheduling</t>
  </si>
  <si>
    <t>8</t>
  </si>
  <si>
    <t>Relatient</t>
  </si>
  <si>
    <t>https://www.relatient.com</t>
  </si>
  <si>
    <t>Patient Engagement; Self-Service</t>
  </si>
  <si>
    <t>Self-scheduling, Reminders, Recalls, Digital registration</t>
  </si>
  <si>
    <t>Multiple EHRs</t>
  </si>
  <si>
    <t>Health Systems; Multi-specialty</t>
  </si>
  <si>
    <t>2014</t>
  </si>
  <si>
    <t>Franklin, TN</t>
  </si>
  <si>
    <t>$30M+</t>
  </si>
  <si>
    <t>Cressey &amp; Company</t>
  </si>
  <si>
    <t>3K</t>
  </si>
  <si>
    <t>IntakeQ</t>
  </si>
  <si>
    <t>https://intakeq.com</t>
  </si>
  <si>
    <t>$49</t>
  </si>
  <si>
    <t>Intake Forms; Scheduling</t>
  </si>
  <si>
    <t>Online forms, Appointment scheduling, Client portal, Notes</t>
  </si>
  <si>
    <t>Wellness; Behavioral</t>
  </si>
  <si>
    <t>US; Canada</t>
  </si>
  <si>
    <t>10000+</t>
  </si>
  <si>
    <t>Self-service</t>
  </si>
  <si>
    <t>Canada</t>
  </si>
  <si>
    <t>Bootstrapped</t>
  </si>
  <si>
    <t>None</t>
  </si>
  <si>
    <t>3</t>
  </si>
  <si>
    <t>DrChrono</t>
  </si>
  <si>
    <t>https://www.drchrono.com</t>
  </si>
  <si>
    <t>$199</t>
  </si>
  <si>
    <t>Mobile EHR, Practice management, Medical billing, iPad first</t>
  </si>
  <si>
    <t>Many third-party</t>
  </si>
  <si>
    <t>Listed</t>
  </si>
  <si>
    <t>2009</t>
  </si>
  <si>
    <t>Sunnyvale, CA</t>
  </si>
  <si>
    <t>Acquired by EverHealth</t>
  </si>
  <si>
    <t>EverHealth</t>
  </si>
  <si>
    <t>15K+</t>
  </si>
  <si>
    <t>EverHealth integration</t>
  </si>
  <si>
    <t>CareCloud</t>
  </si>
  <si>
    <t>https://www.carecloud.com</t>
  </si>
  <si>
    <t>$300</t>
  </si>
  <si>
    <t>Cloud EHR, Practice management, Revenue cycle, Analytics</t>
  </si>
  <si>
    <t>Own platform</t>
  </si>
  <si>
    <t>Multi-specialty</t>
  </si>
  <si>
    <t>5000+</t>
  </si>
  <si>
    <t>Moderate</t>
  </si>
  <si>
    <t>3.9</t>
  </si>
  <si>
    <t>Somerset, NJ</t>
  </si>
  <si>
    <t>Public (NASDAQ: CCLD)</t>
  </si>
  <si>
    <t>Certify Intel - Competitive Intelligence Dashboard</t>
  </si>
  <si>
    <t>Summary Metrics</t>
  </si>
  <si>
    <t>Total Competitors</t>
  </si>
  <si>
    <t>High Threat</t>
  </si>
  <si>
    <t>Medium Threat</t>
  </si>
  <si>
    <t>Low Threat</t>
  </si>
  <si>
    <t>Active Competitors</t>
  </si>
  <si>
    <t>Pricing Comparison Matrix</t>
  </si>
  <si>
    <t>Competitor</t>
  </si>
  <si>
    <t>Feature Comparison Matrix</t>
  </si>
  <si>
    <t>Patient Intake</t>
  </si>
  <si>
    <t>Insurance Verification</t>
  </si>
  <si>
    <t>Payments</t>
  </si>
  <si>
    <t>Scheduling</t>
  </si>
  <si>
    <t>Patient Portal</t>
  </si>
  <si>
    <t>Telehealth</t>
  </si>
  <si>
    <t>RCM</t>
  </si>
  <si>
    <t>Market Segment Analysis</t>
  </si>
  <si>
    <t>Customer Size</t>
  </si>
  <si>
    <t>Competitor Change Log</t>
  </si>
  <si>
    <t>Date</t>
  </si>
  <si>
    <t>Change Type</t>
  </si>
  <si>
    <t>Previous Value</t>
  </si>
  <si>
    <t>New Value</t>
  </si>
  <si>
    <t>Source</t>
  </si>
  <si>
    <t>Severity</t>
  </si>
  <si>
    <t>Data Dictionary - Column Definitions</t>
  </si>
  <si>
    <t>Column Name</t>
  </si>
  <si>
    <t>Category</t>
  </si>
  <si>
    <t>Data Type</t>
  </si>
  <si>
    <t>Description</t>
  </si>
  <si>
    <t>Example</t>
  </si>
  <si>
    <t>Core</t>
  </si>
  <si>
    <t>Text</t>
  </si>
  <si>
    <t>Official company name</t>
  </si>
  <si>
    <t>URL</t>
  </si>
  <si>
    <t>Primary company website</t>
  </si>
  <si>
    <t>Direct</t>
  </si>
  <si>
    <t>Dropdown</t>
  </si>
  <si>
    <t>Active, Inactive, Acquired, Watch</t>
  </si>
  <si>
    <t>Manual</t>
  </si>
  <si>
    <t>High, Medium, Low, Watch</t>
  </si>
  <si>
    <t>Analysis</t>
  </si>
  <si>
    <t>Date of last data update</t>
  </si>
  <si>
    <t>2026-01-15</t>
  </si>
  <si>
    <t>System</t>
  </si>
  <si>
    <t>Pricing</t>
  </si>
  <si>
    <t>How they charge customers</t>
  </si>
  <si>
    <t>Pricing Page</t>
  </si>
  <si>
    <t>Currency</t>
  </si>
  <si>
    <t>Starting/base price</t>
  </si>
  <si>
    <t>Market</t>
  </si>
  <si>
    <t>Number</t>
  </si>
  <si>
    <t>Estimated customer count</t>
  </si>
  <si>
    <t>Website/PR</t>
  </si>
  <si>
    <t>Company</t>
  </si>
  <si>
    <t>Current headcount</t>
  </si>
  <si>
    <t>1500</t>
  </si>
  <si>
    <t>LinkedIn</t>
  </si>
  <si>
    <t>Total funding raised</t>
  </si>
  <si>
    <t>$300M</t>
  </si>
  <si>
    <t>Crunchbase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</si>
</sst>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8"/>
      <color rgb="FF2F5496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548235"/>
        <bgColor rgb="FF548235"/>
      </patternFill>
    </fill>
    <fill>
      <patternFill patternType="solid">
        <fgColor rgb="FF7030A0"/>
        <bgColor rgb="FF7030A0"/>
      </patternFill>
    </fill>
    <fill>
      <patternFill patternType="solid">
        <fgColor rgb="FFC65911"/>
        <bgColor rgb="FFC65911"/>
      </patternFill>
    </fill>
    <fill>
      <patternFill patternType="solid">
        <fgColor rgb="FF305496"/>
        <bgColor rgb="FF305496"/>
      </patternFill>
    </fill>
    <fill>
      <patternFill patternType="solid">
        <fgColor rgb="FFBF8F00"/>
        <bgColor rgb="FFBF8F0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0" fillId="8" borderId="0" xfId="0" applyFill="1"/>
    <xf numFmtId="0" fontId="3" fillId="8" borderId="0" xfId="0" applyFont="1" applyFill="1"/>
    <xf numFmtId="0" fontId="4" fillId="8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2" borderId="0" xfId="0" applyFont="1" applyFill="1"/>
    <xf numFmtId="0" fontId="2" fillId="8" borderId="0" xfId="0" applyFont="1" applyFill="1"/>
    <xf numFmtId="0" fontId="0" fillId="8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10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1" customWidth="1"/>
    <col min="2" max="2" width="33" customWidth="1"/>
    <col min="3" max="3" width="12" customWidth="1"/>
    <col min="4" max="5" width="15" customWidth="1"/>
    <col min="6" max="6" width="12" customWidth="1"/>
    <col min="7" max="7" width="21" customWidth="1"/>
    <col min="8" max="8" width="16" customWidth="1"/>
    <col min="9" max="9" width="13" customWidth="1"/>
    <col min="10" max="10" width="21" customWidth="1"/>
    <col min="11" max="11" width="35" customWidth="1"/>
    <col min="12" max="12" width="60" customWidth="1"/>
    <col min="13" max="13" width="41" customWidth="1"/>
    <col min="14" max="14" width="23" customWidth="1"/>
    <col min="15" max="15" width="34" customWidth="1"/>
    <col min="16" max="16" width="22" customWidth="1"/>
    <col min="17" max="17" width="19" customWidth="1"/>
    <col min="18" max="18" width="17" customWidth="1"/>
    <col min="19" max="19" width="28" customWidth="1"/>
    <col min="20" max="20" width="25" customWidth="1"/>
    <col min="21" max="21" width="12" customWidth="1"/>
    <col min="22" max="22" width="17" customWidth="1"/>
    <col min="23" max="23" width="23" customWidth="1"/>
    <col min="24" max="24" width="15" customWidth="1"/>
    <col min="25" max="25" width="21" customWidth="1"/>
    <col min="26" max="26" width="16" customWidth="1"/>
    <col min="27" max="27" width="25" customWidth="1"/>
    <col min="28" max="28" width="24" customWidth="1"/>
    <col min="29" max="29" width="28" customWidth="1"/>
    <col min="30" max="30" width="19" customWidth="1"/>
    <col min="31" max="31" width="27" customWidth="1"/>
    <col min="32" max="32" width="22" customWidth="1"/>
    <col min="33" max="50" width="12" customWidth="1"/>
  </cols>
  <sheetData>
    <row r="1" spans="1:5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</row>
    <row r="2" spans="1:50" x14ac:dyDescent="0.25">
      <c r="A2" s="7" t="s">
        <v>32</v>
      </c>
      <c r="B2" s="7" t="s">
        <v>33</v>
      </c>
      <c r="C2" s="7" t="s">
        <v>34</v>
      </c>
      <c r="D2" s="7" t="s">
        <v>35</v>
      </c>
      <c r="E2" s="7" t="s">
        <v>36</v>
      </c>
      <c r="F2" s="7"/>
      <c r="G2" s="7"/>
      <c r="H2" s="7" t="s">
        <v>37</v>
      </c>
      <c r="I2" s="7" t="s">
        <v>38</v>
      </c>
      <c r="J2" s="7" t="s">
        <v>39</v>
      </c>
      <c r="K2" s="7" t="s">
        <v>40</v>
      </c>
      <c r="L2" s="7" t="s">
        <v>41</v>
      </c>
      <c r="M2" s="7" t="s">
        <v>42</v>
      </c>
      <c r="N2" s="7" t="s">
        <v>43</v>
      </c>
      <c r="O2" s="7" t="s">
        <v>44</v>
      </c>
      <c r="P2" s="7" t="s">
        <v>45</v>
      </c>
      <c r="Q2" s="7" t="s">
        <v>46</v>
      </c>
      <c r="R2" s="7" t="s">
        <v>47</v>
      </c>
      <c r="S2" s="7" t="s">
        <v>48</v>
      </c>
      <c r="T2" s="7" t="s">
        <v>49</v>
      </c>
      <c r="U2" s="7" t="s">
        <v>50</v>
      </c>
      <c r="V2" s="7" t="s">
        <v>51</v>
      </c>
      <c r="W2" s="7" t="s">
        <v>52</v>
      </c>
      <c r="X2" s="7" t="s">
        <v>53</v>
      </c>
      <c r="Y2" s="7" t="s">
        <v>54</v>
      </c>
      <c r="Z2" s="7" t="s">
        <v>55</v>
      </c>
      <c r="AA2" s="7" t="s">
        <v>56</v>
      </c>
      <c r="AB2" s="7" t="s">
        <v>57</v>
      </c>
      <c r="AC2" s="7" t="s">
        <v>58</v>
      </c>
      <c r="AD2" s="7" t="s">
        <v>59</v>
      </c>
      <c r="AE2" s="7" t="s">
        <v>60</v>
      </c>
      <c r="AF2" s="7" t="s">
        <v>61</v>
      </c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</row>
    <row r="3" spans="1:50" x14ac:dyDescent="0.25">
      <c r="A3" s="7" t="s">
        <v>62</v>
      </c>
      <c r="B3" s="7" t="s">
        <v>63</v>
      </c>
      <c r="C3" s="7" t="s">
        <v>34</v>
      </c>
      <c r="D3" s="7" t="s">
        <v>35</v>
      </c>
      <c r="E3" s="7" t="s">
        <v>36</v>
      </c>
      <c r="F3" s="7"/>
      <c r="G3" s="7"/>
      <c r="H3" s="7" t="s">
        <v>64</v>
      </c>
      <c r="I3" s="7" t="s">
        <v>65</v>
      </c>
      <c r="J3" s="7" t="s">
        <v>66</v>
      </c>
      <c r="K3" s="7" t="s">
        <v>67</v>
      </c>
      <c r="L3" s="7" t="s">
        <v>68</v>
      </c>
      <c r="M3" s="7" t="s">
        <v>69</v>
      </c>
      <c r="N3" s="7" t="s">
        <v>70</v>
      </c>
      <c r="O3" s="7" t="s">
        <v>71</v>
      </c>
      <c r="P3" s="7" t="s">
        <v>72</v>
      </c>
      <c r="Q3" s="7" t="s">
        <v>46</v>
      </c>
      <c r="R3" s="7" t="s">
        <v>73</v>
      </c>
      <c r="S3" s="7" t="s">
        <v>74</v>
      </c>
      <c r="T3" s="7" t="s">
        <v>75</v>
      </c>
      <c r="U3" s="7" t="s">
        <v>76</v>
      </c>
      <c r="V3" s="7" t="s">
        <v>77</v>
      </c>
      <c r="W3" s="7" t="s">
        <v>78</v>
      </c>
      <c r="X3" s="7" t="s">
        <v>79</v>
      </c>
      <c r="Y3" s="7" t="s">
        <v>80</v>
      </c>
      <c r="Z3" s="7" t="s">
        <v>81</v>
      </c>
      <c r="AA3" s="7" t="s">
        <v>82</v>
      </c>
      <c r="AB3" s="7" t="s">
        <v>83</v>
      </c>
      <c r="AC3" s="7" t="s">
        <v>59</v>
      </c>
      <c r="AD3" s="7" t="s">
        <v>84</v>
      </c>
      <c r="AE3" s="7" t="s">
        <v>85</v>
      </c>
      <c r="AF3" s="7" t="s">
        <v>86</v>
      </c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</row>
    <row r="4" spans="1:50" x14ac:dyDescent="0.25">
      <c r="A4" s="7" t="s">
        <v>87</v>
      </c>
      <c r="B4" s="7" t="s">
        <v>88</v>
      </c>
      <c r="C4" s="7" t="s">
        <v>34</v>
      </c>
      <c r="D4" s="7" t="s">
        <v>89</v>
      </c>
      <c r="E4" s="7" t="s">
        <v>36</v>
      </c>
      <c r="F4" s="7"/>
      <c r="G4" s="7"/>
      <c r="H4" s="7" t="s">
        <v>90</v>
      </c>
      <c r="I4" s="7" t="s">
        <v>91</v>
      </c>
      <c r="J4" s="7" t="s">
        <v>92</v>
      </c>
      <c r="K4" s="7" t="s">
        <v>93</v>
      </c>
      <c r="L4" s="7" t="s">
        <v>94</v>
      </c>
      <c r="M4" s="7" t="s">
        <v>95</v>
      </c>
      <c r="N4" s="7" t="s">
        <v>70</v>
      </c>
      <c r="O4" s="7" t="s">
        <v>96</v>
      </c>
      <c r="P4" s="7" t="s">
        <v>45</v>
      </c>
      <c r="Q4" s="7" t="s">
        <v>46</v>
      </c>
      <c r="R4" s="7" t="s">
        <v>97</v>
      </c>
      <c r="S4" s="7" t="s">
        <v>91</v>
      </c>
      <c r="T4" s="7" t="s">
        <v>98</v>
      </c>
      <c r="U4" s="7" t="s">
        <v>99</v>
      </c>
      <c r="V4" s="7" t="s">
        <v>97</v>
      </c>
      <c r="W4" s="7" t="s">
        <v>100</v>
      </c>
      <c r="X4" s="7" t="s">
        <v>101</v>
      </c>
      <c r="Y4" s="7" t="s">
        <v>102</v>
      </c>
      <c r="Z4" s="7" t="s">
        <v>103</v>
      </c>
      <c r="AA4" s="7" t="s">
        <v>104</v>
      </c>
      <c r="AB4" s="7" t="s">
        <v>105</v>
      </c>
      <c r="AC4" s="7" t="s">
        <v>106</v>
      </c>
      <c r="AD4" s="7" t="s">
        <v>107</v>
      </c>
      <c r="AE4" s="7" t="s">
        <v>108</v>
      </c>
      <c r="AF4" s="7" t="s">
        <v>109</v>
      </c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</row>
    <row r="5" spans="1:50" x14ac:dyDescent="0.25">
      <c r="A5" s="7" t="s">
        <v>110</v>
      </c>
      <c r="B5" s="7" t="s">
        <v>111</v>
      </c>
      <c r="C5" s="7" t="s">
        <v>34</v>
      </c>
      <c r="D5" s="7" t="s">
        <v>89</v>
      </c>
      <c r="E5" s="7" t="s">
        <v>36</v>
      </c>
      <c r="F5" s="7"/>
      <c r="G5" s="7"/>
      <c r="H5" s="7" t="s">
        <v>112</v>
      </c>
      <c r="I5" s="7" t="s">
        <v>91</v>
      </c>
      <c r="J5" s="7" t="s">
        <v>92</v>
      </c>
      <c r="K5" s="7" t="s">
        <v>113</v>
      </c>
      <c r="L5" s="7" t="s">
        <v>114</v>
      </c>
      <c r="M5" s="7" t="s">
        <v>115</v>
      </c>
      <c r="N5" s="7" t="s">
        <v>70</v>
      </c>
      <c r="O5" s="7" t="s">
        <v>116</v>
      </c>
      <c r="P5" s="7" t="s">
        <v>117</v>
      </c>
      <c r="Q5" s="7" t="s">
        <v>118</v>
      </c>
      <c r="R5" s="7" t="s">
        <v>91</v>
      </c>
      <c r="S5" s="7" t="s">
        <v>91</v>
      </c>
      <c r="T5" s="7" t="s">
        <v>91</v>
      </c>
      <c r="U5" s="7" t="s">
        <v>99</v>
      </c>
      <c r="V5" s="7" t="s">
        <v>119</v>
      </c>
      <c r="W5" s="7" t="s">
        <v>91</v>
      </c>
      <c r="X5" s="7" t="s">
        <v>120</v>
      </c>
      <c r="Y5" s="7" t="s">
        <v>91</v>
      </c>
      <c r="Z5" s="7" t="s">
        <v>91</v>
      </c>
      <c r="AA5" s="7" t="s">
        <v>121</v>
      </c>
      <c r="AB5" s="7" t="s">
        <v>91</v>
      </c>
      <c r="AC5" s="7" t="s">
        <v>122</v>
      </c>
      <c r="AD5" s="7" t="s">
        <v>123</v>
      </c>
      <c r="AE5" s="7" t="s">
        <v>91</v>
      </c>
      <c r="AF5" s="7" t="s">
        <v>124</v>
      </c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</row>
    <row r="6" spans="1:50" x14ac:dyDescent="0.25">
      <c r="A6" s="7" t="s">
        <v>125</v>
      </c>
      <c r="B6" s="7" t="s">
        <v>126</v>
      </c>
      <c r="C6" s="7" t="s">
        <v>34</v>
      </c>
      <c r="D6" s="7" t="s">
        <v>89</v>
      </c>
      <c r="E6" s="7" t="s">
        <v>36</v>
      </c>
      <c r="F6" s="7"/>
      <c r="G6" s="7"/>
      <c r="H6" s="7" t="s">
        <v>64</v>
      </c>
      <c r="I6" s="7" t="s">
        <v>127</v>
      </c>
      <c r="J6" s="7" t="s">
        <v>66</v>
      </c>
      <c r="K6" s="7" t="s">
        <v>128</v>
      </c>
      <c r="L6" s="7" t="s">
        <v>129</v>
      </c>
      <c r="M6" s="7" t="s">
        <v>130</v>
      </c>
      <c r="N6" s="7" t="s">
        <v>131</v>
      </c>
      <c r="O6" s="7" t="s">
        <v>132</v>
      </c>
      <c r="P6" s="7" t="s">
        <v>72</v>
      </c>
      <c r="Q6" s="7" t="s">
        <v>46</v>
      </c>
      <c r="R6" s="7" t="s">
        <v>133</v>
      </c>
      <c r="S6" s="7" t="s">
        <v>134</v>
      </c>
      <c r="T6" s="7" t="s">
        <v>135</v>
      </c>
      <c r="U6" s="7" t="s">
        <v>136</v>
      </c>
      <c r="V6" s="7" t="s">
        <v>137</v>
      </c>
      <c r="W6" s="7" t="s">
        <v>138</v>
      </c>
      <c r="X6" s="7" t="s">
        <v>139</v>
      </c>
      <c r="Y6" s="7" t="s">
        <v>140</v>
      </c>
      <c r="Z6" s="7" t="s">
        <v>141</v>
      </c>
      <c r="AA6" s="7" t="s">
        <v>142</v>
      </c>
      <c r="AB6" s="7" t="s">
        <v>143</v>
      </c>
      <c r="AC6" s="7" t="s">
        <v>144</v>
      </c>
      <c r="AD6" s="7" t="s">
        <v>106</v>
      </c>
      <c r="AE6" s="7" t="s">
        <v>145</v>
      </c>
      <c r="AF6" s="7" t="s">
        <v>146</v>
      </c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</row>
    <row r="7" spans="1:50" x14ac:dyDescent="0.25">
      <c r="A7" s="7" t="s">
        <v>147</v>
      </c>
      <c r="B7" s="7" t="s">
        <v>148</v>
      </c>
      <c r="C7" s="7" t="s">
        <v>34</v>
      </c>
      <c r="D7" s="7" t="s">
        <v>89</v>
      </c>
      <c r="E7" s="7" t="s">
        <v>36</v>
      </c>
      <c r="F7" s="7"/>
      <c r="G7" s="7"/>
      <c r="H7" s="7" t="s">
        <v>149</v>
      </c>
      <c r="I7" s="7" t="s">
        <v>150</v>
      </c>
      <c r="J7" s="7" t="s">
        <v>151</v>
      </c>
      <c r="K7" s="7" t="s">
        <v>152</v>
      </c>
      <c r="L7" s="7" t="s">
        <v>153</v>
      </c>
      <c r="M7" s="7" t="s">
        <v>154</v>
      </c>
      <c r="N7" s="7" t="s">
        <v>70</v>
      </c>
      <c r="O7" s="7" t="s">
        <v>132</v>
      </c>
      <c r="P7" s="7" t="s">
        <v>117</v>
      </c>
      <c r="Q7" s="7" t="s">
        <v>46</v>
      </c>
      <c r="R7" s="7" t="s">
        <v>155</v>
      </c>
      <c r="S7" s="7" t="s">
        <v>156</v>
      </c>
      <c r="T7" s="7" t="s">
        <v>157</v>
      </c>
      <c r="U7" s="7" t="s">
        <v>158</v>
      </c>
      <c r="V7" s="7" t="s">
        <v>159</v>
      </c>
      <c r="W7" s="7" t="s">
        <v>160</v>
      </c>
      <c r="X7" s="7" t="s">
        <v>161</v>
      </c>
      <c r="Y7" s="7" t="s">
        <v>162</v>
      </c>
      <c r="Z7" s="7" t="s">
        <v>141</v>
      </c>
      <c r="AA7" s="7" t="s">
        <v>163</v>
      </c>
      <c r="AB7" s="7" t="s">
        <v>164</v>
      </c>
      <c r="AC7" s="7" t="s">
        <v>165</v>
      </c>
      <c r="AD7" s="7" t="s">
        <v>166</v>
      </c>
      <c r="AE7" s="7" t="s">
        <v>167</v>
      </c>
      <c r="AF7" s="7" t="s">
        <v>86</v>
      </c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</row>
    <row r="8" spans="1:50" x14ac:dyDescent="0.25">
      <c r="A8" s="7" t="s">
        <v>168</v>
      </c>
      <c r="B8" s="7" t="s">
        <v>169</v>
      </c>
      <c r="C8" s="7" t="s">
        <v>34</v>
      </c>
      <c r="D8" s="7" t="s">
        <v>170</v>
      </c>
      <c r="E8" s="7" t="s">
        <v>36</v>
      </c>
      <c r="F8" s="7"/>
      <c r="G8" s="7"/>
      <c r="H8" s="7" t="s">
        <v>112</v>
      </c>
      <c r="I8" s="7" t="s">
        <v>171</v>
      </c>
      <c r="J8" s="7" t="s">
        <v>172</v>
      </c>
      <c r="K8" s="7" t="s">
        <v>173</v>
      </c>
      <c r="L8" s="7" t="s">
        <v>174</v>
      </c>
      <c r="M8" s="7" t="s">
        <v>175</v>
      </c>
      <c r="N8" s="7" t="s">
        <v>70</v>
      </c>
      <c r="O8" s="7" t="s">
        <v>176</v>
      </c>
      <c r="P8" s="7" t="s">
        <v>177</v>
      </c>
      <c r="Q8" s="7" t="s">
        <v>118</v>
      </c>
      <c r="R8" s="7" t="s">
        <v>178</v>
      </c>
      <c r="S8" s="7" t="s">
        <v>179</v>
      </c>
      <c r="T8" s="7" t="s">
        <v>180</v>
      </c>
      <c r="U8" s="7" t="s">
        <v>181</v>
      </c>
      <c r="V8" s="7" t="s">
        <v>73</v>
      </c>
      <c r="W8" s="7" t="s">
        <v>78</v>
      </c>
      <c r="X8" s="7" t="s">
        <v>182</v>
      </c>
      <c r="Y8" s="7" t="s">
        <v>183</v>
      </c>
      <c r="Z8" s="7" t="s">
        <v>81</v>
      </c>
      <c r="AA8" s="7" t="s">
        <v>184</v>
      </c>
      <c r="AB8" s="7" t="s">
        <v>185</v>
      </c>
      <c r="AC8" s="7" t="s">
        <v>186</v>
      </c>
      <c r="AD8" s="7" t="s">
        <v>144</v>
      </c>
      <c r="AE8" s="7" t="s">
        <v>187</v>
      </c>
      <c r="AF8" s="7" t="s">
        <v>188</v>
      </c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</row>
    <row r="9" spans="1:50" x14ac:dyDescent="0.25">
      <c r="A9" s="7" t="s">
        <v>189</v>
      </c>
      <c r="B9" s="7" t="s">
        <v>190</v>
      </c>
      <c r="C9" s="7" t="s">
        <v>34</v>
      </c>
      <c r="D9" s="7" t="s">
        <v>170</v>
      </c>
      <c r="E9" s="7" t="s">
        <v>36</v>
      </c>
      <c r="F9" s="7"/>
      <c r="G9" s="7"/>
      <c r="H9" s="7" t="s">
        <v>191</v>
      </c>
      <c r="I9" s="7" t="s">
        <v>192</v>
      </c>
      <c r="J9" s="7" t="s">
        <v>193</v>
      </c>
      <c r="K9" s="7" t="s">
        <v>194</v>
      </c>
      <c r="L9" s="7" t="s">
        <v>195</v>
      </c>
      <c r="M9" s="7" t="s">
        <v>196</v>
      </c>
      <c r="N9" s="7" t="s">
        <v>197</v>
      </c>
      <c r="O9" s="7" t="s">
        <v>198</v>
      </c>
      <c r="P9" s="7" t="s">
        <v>45</v>
      </c>
      <c r="Q9" s="7" t="s">
        <v>46</v>
      </c>
      <c r="R9" s="7" t="s">
        <v>178</v>
      </c>
      <c r="S9" s="7" t="s">
        <v>199</v>
      </c>
      <c r="T9" s="7" t="s">
        <v>98</v>
      </c>
      <c r="U9" s="7" t="s">
        <v>200</v>
      </c>
      <c r="V9" s="7" t="s">
        <v>47</v>
      </c>
      <c r="W9" s="7" t="s">
        <v>201</v>
      </c>
      <c r="X9" s="7" t="s">
        <v>202</v>
      </c>
      <c r="Y9" s="7" t="s">
        <v>80</v>
      </c>
      <c r="Z9" s="7" t="s">
        <v>203</v>
      </c>
      <c r="AA9" s="7" t="s">
        <v>204</v>
      </c>
      <c r="AB9" s="7" t="s">
        <v>57</v>
      </c>
      <c r="AC9" s="7" t="s">
        <v>205</v>
      </c>
      <c r="AD9" s="7" t="s">
        <v>166</v>
      </c>
      <c r="AE9" s="7" t="s">
        <v>206</v>
      </c>
      <c r="AF9" s="7" t="s">
        <v>207</v>
      </c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</row>
    <row r="10" spans="1:50" x14ac:dyDescent="0.25">
      <c r="A10" s="7" t="s">
        <v>208</v>
      </c>
      <c r="B10" s="7" t="s">
        <v>209</v>
      </c>
      <c r="C10" s="7" t="s">
        <v>34</v>
      </c>
      <c r="D10" s="7" t="s">
        <v>89</v>
      </c>
      <c r="E10" s="7" t="s">
        <v>36</v>
      </c>
      <c r="F10" s="7"/>
      <c r="G10" s="7"/>
      <c r="H10" s="7" t="s">
        <v>90</v>
      </c>
      <c r="I10" s="7" t="s">
        <v>210</v>
      </c>
      <c r="J10" s="7" t="s">
        <v>211</v>
      </c>
      <c r="K10" s="7" t="s">
        <v>212</v>
      </c>
      <c r="L10" s="7" t="s">
        <v>213</v>
      </c>
      <c r="M10" s="7" t="s">
        <v>214</v>
      </c>
      <c r="N10" s="7" t="s">
        <v>70</v>
      </c>
      <c r="O10" s="7" t="s">
        <v>215</v>
      </c>
      <c r="P10" s="7" t="s">
        <v>72</v>
      </c>
      <c r="Q10" s="7" t="s">
        <v>46</v>
      </c>
      <c r="R10" s="7" t="s">
        <v>216</v>
      </c>
      <c r="S10" s="7" t="s">
        <v>217</v>
      </c>
      <c r="T10" s="7" t="s">
        <v>218</v>
      </c>
      <c r="U10" s="7" t="s">
        <v>76</v>
      </c>
      <c r="V10" s="7" t="s">
        <v>219</v>
      </c>
      <c r="W10" s="7" t="s">
        <v>138</v>
      </c>
      <c r="X10" s="7" t="s">
        <v>220</v>
      </c>
      <c r="Y10" s="7" t="s">
        <v>221</v>
      </c>
      <c r="Z10" s="7" t="s">
        <v>81</v>
      </c>
      <c r="AA10" s="7" t="s">
        <v>142</v>
      </c>
      <c r="AB10" s="7" t="s">
        <v>222</v>
      </c>
      <c r="AC10" s="7" t="s">
        <v>223</v>
      </c>
      <c r="AD10" s="7" t="s">
        <v>224</v>
      </c>
      <c r="AE10" s="7" t="s">
        <v>225</v>
      </c>
      <c r="AF10" s="7" t="s">
        <v>226</v>
      </c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</row>
    <row r="11" spans="1:50" x14ac:dyDescent="0.25">
      <c r="A11" s="7" t="s">
        <v>227</v>
      </c>
      <c r="B11" s="7" t="s">
        <v>228</v>
      </c>
      <c r="C11" s="7" t="s">
        <v>34</v>
      </c>
      <c r="D11" s="7" t="s">
        <v>89</v>
      </c>
      <c r="E11" s="7" t="s">
        <v>36</v>
      </c>
      <c r="F11" s="7"/>
      <c r="G11" s="7"/>
      <c r="H11" s="7" t="s">
        <v>90</v>
      </c>
      <c r="I11" s="7" t="s">
        <v>91</v>
      </c>
      <c r="J11" s="7" t="s">
        <v>229</v>
      </c>
      <c r="K11" s="7" t="s">
        <v>230</v>
      </c>
      <c r="L11" s="7" t="s">
        <v>231</v>
      </c>
      <c r="M11" s="7" t="s">
        <v>232</v>
      </c>
      <c r="N11" s="7" t="s">
        <v>70</v>
      </c>
      <c r="O11" s="7" t="s">
        <v>233</v>
      </c>
      <c r="P11" s="7" t="s">
        <v>117</v>
      </c>
      <c r="Q11" s="7" t="s">
        <v>118</v>
      </c>
      <c r="R11" s="7" t="s">
        <v>91</v>
      </c>
      <c r="S11" s="7" t="s">
        <v>234</v>
      </c>
      <c r="T11" s="7" t="s">
        <v>235</v>
      </c>
      <c r="U11" s="7" t="s">
        <v>236</v>
      </c>
      <c r="V11" s="7" t="s">
        <v>237</v>
      </c>
      <c r="W11" s="7" t="s">
        <v>91</v>
      </c>
      <c r="X11" s="7" t="s">
        <v>120</v>
      </c>
      <c r="Y11" s="7" t="s">
        <v>238</v>
      </c>
      <c r="Z11" s="7" t="s">
        <v>91</v>
      </c>
      <c r="AA11" s="7" t="s">
        <v>91</v>
      </c>
      <c r="AB11" s="7" t="s">
        <v>91</v>
      </c>
      <c r="AC11" s="7" t="s">
        <v>59</v>
      </c>
      <c r="AD11" s="7" t="s">
        <v>107</v>
      </c>
      <c r="AE11" s="7" t="s">
        <v>91</v>
      </c>
      <c r="AF11" s="7" t="s">
        <v>109</v>
      </c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</row>
    <row r="12" spans="1:50" x14ac:dyDescent="0.25">
      <c r="A12" s="7" t="s">
        <v>239</v>
      </c>
      <c r="B12" s="7" t="s">
        <v>240</v>
      </c>
      <c r="C12" s="7" t="s">
        <v>34</v>
      </c>
      <c r="D12" s="7" t="s">
        <v>89</v>
      </c>
      <c r="E12" s="7" t="s">
        <v>36</v>
      </c>
      <c r="F12" s="7"/>
      <c r="G12" s="7"/>
      <c r="H12" s="7" t="s">
        <v>90</v>
      </c>
      <c r="I12" s="7" t="s">
        <v>91</v>
      </c>
      <c r="J12" s="7" t="s">
        <v>229</v>
      </c>
      <c r="K12" s="7" t="s">
        <v>241</v>
      </c>
      <c r="L12" s="7" t="s">
        <v>242</v>
      </c>
      <c r="M12" s="7" t="s">
        <v>243</v>
      </c>
      <c r="N12" s="7" t="s">
        <v>70</v>
      </c>
      <c r="O12" s="7" t="s">
        <v>244</v>
      </c>
      <c r="P12" s="7" t="s">
        <v>72</v>
      </c>
      <c r="Q12" s="7" t="s">
        <v>46</v>
      </c>
      <c r="R12" s="7" t="s">
        <v>97</v>
      </c>
      <c r="S12" s="7" t="s">
        <v>234</v>
      </c>
      <c r="T12" s="7" t="s">
        <v>98</v>
      </c>
      <c r="U12" s="7" t="s">
        <v>245</v>
      </c>
      <c r="V12" s="7" t="s">
        <v>77</v>
      </c>
      <c r="W12" s="7" t="s">
        <v>234</v>
      </c>
      <c r="X12" s="7" t="s">
        <v>120</v>
      </c>
      <c r="Y12" s="7" t="s">
        <v>246</v>
      </c>
      <c r="Z12" s="7" t="s">
        <v>81</v>
      </c>
      <c r="AA12" s="7" t="s">
        <v>82</v>
      </c>
      <c r="AB12" s="7" t="s">
        <v>247</v>
      </c>
      <c r="AC12" s="7" t="s">
        <v>248</v>
      </c>
      <c r="AD12" s="7" t="s">
        <v>107</v>
      </c>
      <c r="AE12" s="7" t="s">
        <v>249</v>
      </c>
      <c r="AF12" s="7" t="s">
        <v>250</v>
      </c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</row>
    <row r="13" spans="1:50" x14ac:dyDescent="0.25">
      <c r="A13" s="7" t="s">
        <v>251</v>
      </c>
      <c r="B13" s="7" t="s">
        <v>252</v>
      </c>
      <c r="C13" s="7" t="s">
        <v>34</v>
      </c>
      <c r="D13" s="7" t="s">
        <v>89</v>
      </c>
      <c r="E13" s="7" t="s">
        <v>36</v>
      </c>
      <c r="F13" s="7"/>
      <c r="G13" s="7"/>
      <c r="H13" s="7" t="s">
        <v>90</v>
      </c>
      <c r="I13" s="7" t="s">
        <v>91</v>
      </c>
      <c r="J13" s="7" t="s">
        <v>229</v>
      </c>
      <c r="K13" s="7" t="s">
        <v>253</v>
      </c>
      <c r="L13" s="7" t="s">
        <v>254</v>
      </c>
      <c r="M13" s="7" t="s">
        <v>255</v>
      </c>
      <c r="N13" s="7" t="s">
        <v>70</v>
      </c>
      <c r="O13" s="7" t="s">
        <v>256</v>
      </c>
      <c r="P13" s="7" t="s">
        <v>72</v>
      </c>
      <c r="Q13" s="7" t="s">
        <v>46</v>
      </c>
      <c r="R13" s="7" t="s">
        <v>73</v>
      </c>
      <c r="S13" s="7" t="s">
        <v>217</v>
      </c>
      <c r="T13" s="7" t="s">
        <v>235</v>
      </c>
      <c r="U13" s="7" t="s">
        <v>136</v>
      </c>
      <c r="V13" s="7" t="s">
        <v>77</v>
      </c>
      <c r="W13" s="7" t="s">
        <v>138</v>
      </c>
      <c r="X13" s="7" t="s">
        <v>257</v>
      </c>
      <c r="Y13" s="7" t="s">
        <v>258</v>
      </c>
      <c r="Z13" s="7" t="s">
        <v>259</v>
      </c>
      <c r="AA13" s="7" t="s">
        <v>164</v>
      </c>
      <c r="AB13" s="7" t="s">
        <v>260</v>
      </c>
      <c r="AC13" s="7" t="s">
        <v>166</v>
      </c>
      <c r="AD13" s="7" t="s">
        <v>261</v>
      </c>
      <c r="AE13" s="7" t="s">
        <v>91</v>
      </c>
      <c r="AF13" s="7" t="s">
        <v>109</v>
      </c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</row>
    <row r="14" spans="1:50" x14ac:dyDescent="0.25">
      <c r="A14" s="7" t="s">
        <v>262</v>
      </c>
      <c r="B14" s="7" t="s">
        <v>263</v>
      </c>
      <c r="C14" s="7" t="s">
        <v>34</v>
      </c>
      <c r="D14" s="7" t="s">
        <v>170</v>
      </c>
      <c r="E14" s="7" t="s">
        <v>36</v>
      </c>
      <c r="F14" s="7"/>
      <c r="G14" s="7"/>
      <c r="H14" s="7" t="s">
        <v>112</v>
      </c>
      <c r="I14" s="7" t="s">
        <v>264</v>
      </c>
      <c r="J14" s="7" t="s">
        <v>92</v>
      </c>
      <c r="K14" s="7" t="s">
        <v>265</v>
      </c>
      <c r="L14" s="7" t="s">
        <v>266</v>
      </c>
      <c r="M14" s="7" t="s">
        <v>115</v>
      </c>
      <c r="N14" s="7" t="s">
        <v>70</v>
      </c>
      <c r="O14" s="7" t="s">
        <v>267</v>
      </c>
      <c r="P14" s="7" t="s">
        <v>177</v>
      </c>
      <c r="Q14" s="7" t="s">
        <v>268</v>
      </c>
      <c r="R14" s="7" t="s">
        <v>269</v>
      </c>
      <c r="S14" s="7" t="s">
        <v>270</v>
      </c>
      <c r="T14" s="7" t="s">
        <v>180</v>
      </c>
      <c r="U14" s="7" t="s">
        <v>245</v>
      </c>
      <c r="V14" s="7" t="s">
        <v>119</v>
      </c>
      <c r="W14" s="7" t="s">
        <v>234</v>
      </c>
      <c r="X14" s="7" t="s">
        <v>257</v>
      </c>
      <c r="Y14" s="7" t="s">
        <v>271</v>
      </c>
      <c r="Z14" s="7" t="s">
        <v>272</v>
      </c>
      <c r="AA14" s="7" t="s">
        <v>273</v>
      </c>
      <c r="AB14" s="7" t="s">
        <v>273</v>
      </c>
      <c r="AC14" s="7" t="s">
        <v>144</v>
      </c>
      <c r="AD14" s="7" t="s">
        <v>107</v>
      </c>
      <c r="AE14" s="7" t="s">
        <v>91</v>
      </c>
      <c r="AF14" s="7" t="s">
        <v>274</v>
      </c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</row>
    <row r="15" spans="1:50" x14ac:dyDescent="0.25">
      <c r="A15" s="7" t="s">
        <v>275</v>
      </c>
      <c r="B15" s="7" t="s">
        <v>276</v>
      </c>
      <c r="C15" s="7" t="s">
        <v>34</v>
      </c>
      <c r="D15" s="7" t="s">
        <v>170</v>
      </c>
      <c r="E15" s="7" t="s">
        <v>36</v>
      </c>
      <c r="F15" s="7"/>
      <c r="G15" s="7"/>
      <c r="H15" s="7" t="s">
        <v>64</v>
      </c>
      <c r="I15" s="7" t="s">
        <v>277</v>
      </c>
      <c r="J15" s="7" t="s">
        <v>66</v>
      </c>
      <c r="K15" s="7" t="s">
        <v>194</v>
      </c>
      <c r="L15" s="7" t="s">
        <v>278</v>
      </c>
      <c r="M15" s="7" t="s">
        <v>279</v>
      </c>
      <c r="N15" s="7" t="s">
        <v>70</v>
      </c>
      <c r="O15" s="7" t="s">
        <v>132</v>
      </c>
      <c r="P15" s="7" t="s">
        <v>117</v>
      </c>
      <c r="Q15" s="7" t="s">
        <v>118</v>
      </c>
      <c r="R15" s="7" t="s">
        <v>91</v>
      </c>
      <c r="S15" s="7" t="s">
        <v>91</v>
      </c>
      <c r="T15" s="7" t="s">
        <v>280</v>
      </c>
      <c r="U15" s="7" t="s">
        <v>99</v>
      </c>
      <c r="V15" s="7" t="s">
        <v>77</v>
      </c>
      <c r="W15" s="7" t="s">
        <v>100</v>
      </c>
      <c r="X15" s="7" t="s">
        <v>281</v>
      </c>
      <c r="Y15" s="7" t="s">
        <v>282</v>
      </c>
      <c r="Z15" s="7" t="s">
        <v>81</v>
      </c>
      <c r="AA15" s="7" t="s">
        <v>283</v>
      </c>
      <c r="AB15" s="7" t="s">
        <v>284</v>
      </c>
      <c r="AC15" s="7" t="s">
        <v>59</v>
      </c>
      <c r="AD15" s="7" t="s">
        <v>285</v>
      </c>
      <c r="AE15" s="7" t="s">
        <v>286</v>
      </c>
      <c r="AF15" s="7" t="s">
        <v>250</v>
      </c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</row>
    <row r="16" spans="1:50" x14ac:dyDescent="0.25">
      <c r="A16" s="7" t="s">
        <v>287</v>
      </c>
      <c r="B16" s="7" t="s">
        <v>288</v>
      </c>
      <c r="C16" s="7" t="s">
        <v>34</v>
      </c>
      <c r="D16" s="7" t="s">
        <v>89</v>
      </c>
      <c r="E16" s="7" t="s">
        <v>36</v>
      </c>
      <c r="F16" s="7"/>
      <c r="G16" s="7"/>
      <c r="H16" s="7" t="s">
        <v>64</v>
      </c>
      <c r="I16" s="7" t="s">
        <v>289</v>
      </c>
      <c r="J16" s="7" t="s">
        <v>66</v>
      </c>
      <c r="K16" s="7" t="s">
        <v>194</v>
      </c>
      <c r="L16" s="7" t="s">
        <v>290</v>
      </c>
      <c r="M16" s="7" t="s">
        <v>291</v>
      </c>
      <c r="N16" s="7" t="s">
        <v>131</v>
      </c>
      <c r="O16" s="7" t="s">
        <v>292</v>
      </c>
      <c r="P16" s="7" t="s">
        <v>72</v>
      </c>
      <c r="Q16" s="7" t="s">
        <v>46</v>
      </c>
      <c r="R16" s="7" t="s">
        <v>293</v>
      </c>
      <c r="S16" s="7" t="s">
        <v>294</v>
      </c>
      <c r="T16" s="7" t="s">
        <v>235</v>
      </c>
      <c r="U16" s="7" t="s">
        <v>295</v>
      </c>
      <c r="V16" s="7" t="s">
        <v>73</v>
      </c>
      <c r="W16" s="7" t="s">
        <v>201</v>
      </c>
      <c r="X16" s="7" t="s">
        <v>281</v>
      </c>
      <c r="Y16" s="7" t="s">
        <v>296</v>
      </c>
      <c r="Z16" s="7" t="s">
        <v>141</v>
      </c>
      <c r="AA16" s="7" t="s">
        <v>297</v>
      </c>
      <c r="AB16" s="7" t="s">
        <v>57</v>
      </c>
      <c r="AC16" s="7" t="s">
        <v>248</v>
      </c>
      <c r="AD16" s="7" t="s">
        <v>107</v>
      </c>
      <c r="AE16" s="7" t="s">
        <v>206</v>
      </c>
      <c r="AF16" s="7" t="s">
        <v>188</v>
      </c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</row>
    <row r="17" spans="1:50" x14ac:dyDescent="0.2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</row>
    <row r="18" spans="1:50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</row>
    <row r="19" spans="1:50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</row>
    <row r="20" spans="1:50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</row>
    <row r="21" spans="1:50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</row>
    <row r="22" spans="1:50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</row>
    <row r="23" spans="1:50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</row>
    <row r="24" spans="1:50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</row>
    <row r="25" spans="1:50" x14ac:dyDescent="0.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</row>
    <row r="26" spans="1:50" x14ac:dyDescent="0.2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</row>
    <row r="27" spans="1:50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</row>
    <row r="28" spans="1:50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</row>
    <row r="29" spans="1:50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</row>
    <row r="30" spans="1:50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</row>
    <row r="31" spans="1:50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</row>
    <row r="32" spans="1:50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</row>
    <row r="33" spans="1:50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</row>
    <row r="34" spans="1:50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</row>
    <row r="35" spans="1:50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</row>
    <row r="36" spans="1:50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</row>
    <row r="37" spans="1:50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</row>
    <row r="38" spans="1:50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</row>
    <row r="39" spans="1:50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</row>
    <row r="40" spans="1:50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</row>
    <row r="41" spans="1:50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</row>
    <row r="42" spans="1:50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</row>
    <row r="43" spans="1:50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</row>
    <row r="44" spans="1:50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</row>
    <row r="45" spans="1:50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</row>
    <row r="46" spans="1:50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</row>
    <row r="47" spans="1:50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</row>
    <row r="48" spans="1:50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</row>
    <row r="49" spans="1:50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</row>
    <row r="50" spans="1:50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</row>
    <row r="51" spans="1:50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</row>
    <row r="52" spans="1:50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</row>
    <row r="53" spans="1:50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</row>
    <row r="54" spans="1:50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</row>
    <row r="55" spans="1:50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</row>
    <row r="56" spans="1:50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</row>
    <row r="57" spans="1:50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</row>
    <row r="58" spans="1:50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</row>
    <row r="59" spans="1:50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</row>
    <row r="60" spans="1:50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</row>
    <row r="61" spans="1:50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</row>
    <row r="62" spans="1:50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</row>
    <row r="63" spans="1:50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</row>
    <row r="64" spans="1:50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</row>
    <row r="65" spans="1:50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</row>
    <row r="66" spans="1:50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</row>
    <row r="67" spans="1:50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</row>
    <row r="68" spans="1:50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</row>
    <row r="69" spans="1:50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</row>
    <row r="70" spans="1:50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</row>
    <row r="71" spans="1:50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</row>
    <row r="72" spans="1:50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</row>
    <row r="73" spans="1:50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</row>
    <row r="74" spans="1:50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</row>
    <row r="75" spans="1:50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</row>
    <row r="76" spans="1:50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</row>
    <row r="77" spans="1:50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</row>
    <row r="78" spans="1:50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</row>
    <row r="79" spans="1:50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</row>
    <row r="80" spans="1:50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</row>
    <row r="81" spans="1:50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</row>
    <row r="82" spans="1:50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</row>
    <row r="83" spans="1:50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</row>
    <row r="84" spans="1:50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</row>
    <row r="85" spans="1:50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</row>
    <row r="86" spans="1:50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</row>
    <row r="87" spans="1:50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</row>
    <row r="88" spans="1:50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</row>
    <row r="89" spans="1:50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</row>
    <row r="90" spans="1:50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</row>
    <row r="91" spans="1:50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</row>
    <row r="92" spans="1:50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</row>
    <row r="93" spans="1:50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</row>
    <row r="94" spans="1:50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</row>
    <row r="95" spans="1:50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</row>
    <row r="96" spans="1:50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</row>
    <row r="97" spans="1:50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</row>
    <row r="98" spans="1:50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</row>
    <row r="99" spans="1:50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</row>
    <row r="100" spans="1:50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</row>
  </sheetData>
  <dataValidations count="4">
    <dataValidation type="list" sqref="C2:C100" xr:uid="{00000000-0002-0000-0000-000000000000}">
      <formula1>"Active,Inactive,Acquired,Watch"</formula1>
    </dataValidation>
    <dataValidation type="list" sqref="D2:D100" xr:uid="{00000000-0002-0000-0000-000001000000}">
      <formula1>"High,Medium,Low,Watch"</formula1>
    </dataValidation>
    <dataValidation type="list" sqref="H2:H100" xr:uid="{00000000-0002-0000-0000-000002000000}">
      <formula1>"Per User,Per Provider,Per Location,Per Visit,Flat Rate,Tiered,Custom,Unknown"</formula1>
    </dataValidation>
    <dataValidation type="list" sqref="P2:P100" xr:uid="{00000000-0002-0000-0000-000003000000}">
      <formula1>"Solo,Small (1-15),Medium (15-50),Large (50+),Enterprise,All Sizes"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X100"/>
  <sheetViews>
    <sheetView workbookViewId="0">
      <selection sqref="A1:E1"/>
    </sheetView>
  </sheetViews>
  <sheetFormatPr defaultRowHeight="15" x14ac:dyDescent="0.25"/>
  <cols>
    <col min="1" max="1" width="53" customWidth="1"/>
    <col min="2" max="2" width="37" customWidth="1"/>
    <col min="3" max="50" width="12" customWidth="1"/>
  </cols>
  <sheetData>
    <row r="1" spans="1:50" ht="23.25" x14ac:dyDescent="0.35">
      <c r="A1" s="14" t="s">
        <v>298</v>
      </c>
      <c r="B1" s="15"/>
      <c r="C1" s="15"/>
      <c r="D1" s="15"/>
      <c r="E1" s="15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</row>
    <row r="2" spans="1:50" x14ac:dyDescent="0.2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</row>
    <row r="3" spans="1:50" ht="18.75" x14ac:dyDescent="0.3">
      <c r="A3" s="8" t="s">
        <v>299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</row>
    <row r="4" spans="1:50" x14ac:dyDescent="0.25">
      <c r="A4" s="9" t="s">
        <v>300</v>
      </c>
      <c r="B4" s="7">
        <f>COUNTA(Competitors!A:A)-1</f>
        <v>15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</row>
    <row r="5" spans="1:50" x14ac:dyDescent="0.25">
      <c r="A5" s="9" t="s">
        <v>301</v>
      </c>
      <c r="B5" s="7">
        <f>COUNTIF(Competitors!D:D,"High")</f>
        <v>2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</row>
    <row r="6" spans="1:50" x14ac:dyDescent="0.25">
      <c r="A6" s="9" t="s">
        <v>302</v>
      </c>
      <c r="B6" s="7">
        <f>COUNTIF(Competitors!D:D,"Medium")</f>
        <v>9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</row>
    <row r="7" spans="1:50" x14ac:dyDescent="0.25">
      <c r="A7" s="9" t="s">
        <v>303</v>
      </c>
      <c r="B7" s="7">
        <f>COUNTIF(Competitors!D:D,"Low")</f>
        <v>4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</row>
    <row r="8" spans="1:50" x14ac:dyDescent="0.25">
      <c r="A8" s="9" t="s">
        <v>304</v>
      </c>
      <c r="B8" s="7">
        <f>COUNTIF(Competitors!C:C,"Active")</f>
        <v>15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</row>
    <row r="9" spans="1:50" x14ac:dyDescent="0.2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</row>
    <row r="10" spans="1:50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</row>
    <row r="11" spans="1:50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</row>
    <row r="12" spans="1:50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</row>
    <row r="13" spans="1:50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</row>
    <row r="14" spans="1:50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</row>
    <row r="15" spans="1:50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</row>
    <row r="16" spans="1:50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</row>
    <row r="17" spans="1:50" x14ac:dyDescent="0.2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</row>
    <row r="18" spans="1:50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</row>
    <row r="19" spans="1:50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</row>
    <row r="20" spans="1:50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</row>
    <row r="21" spans="1:50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</row>
    <row r="22" spans="1:50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</row>
    <row r="23" spans="1:50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</row>
    <row r="24" spans="1:50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</row>
    <row r="25" spans="1:50" x14ac:dyDescent="0.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</row>
    <row r="26" spans="1:50" x14ac:dyDescent="0.2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</row>
    <row r="27" spans="1:50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</row>
    <row r="28" spans="1:50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</row>
    <row r="29" spans="1:50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</row>
    <row r="30" spans="1:50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</row>
    <row r="31" spans="1:50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</row>
    <row r="32" spans="1:50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</row>
    <row r="33" spans="1:50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</row>
    <row r="34" spans="1:50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</row>
    <row r="35" spans="1:50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</row>
    <row r="36" spans="1:50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</row>
    <row r="37" spans="1:50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</row>
    <row r="38" spans="1:50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</row>
    <row r="39" spans="1:50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</row>
    <row r="40" spans="1:50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</row>
    <row r="41" spans="1:50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</row>
    <row r="42" spans="1:50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</row>
    <row r="43" spans="1:50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</row>
    <row r="44" spans="1:50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</row>
    <row r="45" spans="1:50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</row>
    <row r="46" spans="1:50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</row>
    <row r="47" spans="1:50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</row>
    <row r="48" spans="1:50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</row>
    <row r="49" spans="1:50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</row>
    <row r="50" spans="1:50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</row>
    <row r="51" spans="1:50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</row>
    <row r="52" spans="1:50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</row>
    <row r="53" spans="1:50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</row>
    <row r="54" spans="1:50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</row>
    <row r="55" spans="1:50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</row>
    <row r="56" spans="1:50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</row>
    <row r="57" spans="1:50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</row>
    <row r="58" spans="1:50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</row>
    <row r="59" spans="1:50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</row>
    <row r="60" spans="1:50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</row>
    <row r="61" spans="1:50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</row>
    <row r="62" spans="1:50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</row>
    <row r="63" spans="1:50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</row>
    <row r="64" spans="1:50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</row>
    <row r="65" spans="1:50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</row>
    <row r="66" spans="1:50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</row>
    <row r="67" spans="1:50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</row>
    <row r="68" spans="1:50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</row>
    <row r="69" spans="1:50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</row>
    <row r="70" spans="1:50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</row>
    <row r="71" spans="1:50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</row>
    <row r="72" spans="1:50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</row>
    <row r="73" spans="1:50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</row>
    <row r="74" spans="1:50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</row>
    <row r="75" spans="1:50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</row>
    <row r="76" spans="1:50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</row>
    <row r="77" spans="1:50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</row>
    <row r="78" spans="1:50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</row>
    <row r="79" spans="1:50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</row>
    <row r="80" spans="1:50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</row>
    <row r="81" spans="1:50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</row>
    <row r="82" spans="1:50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</row>
    <row r="83" spans="1:50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</row>
    <row r="84" spans="1:50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</row>
    <row r="85" spans="1:50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</row>
    <row r="86" spans="1:50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</row>
    <row r="87" spans="1:50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</row>
    <row r="88" spans="1:50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</row>
    <row r="89" spans="1:50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</row>
    <row r="90" spans="1:50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</row>
    <row r="91" spans="1:50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</row>
    <row r="92" spans="1:50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</row>
    <row r="93" spans="1:50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</row>
    <row r="94" spans="1:50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</row>
    <row r="95" spans="1:50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</row>
    <row r="96" spans="1:50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</row>
    <row r="97" spans="1:50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</row>
    <row r="98" spans="1:50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</row>
    <row r="99" spans="1:50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</row>
    <row r="100" spans="1:50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X100"/>
  <sheetViews>
    <sheetView workbookViewId="0"/>
  </sheetViews>
  <sheetFormatPr defaultRowHeight="15" x14ac:dyDescent="0.25"/>
  <cols>
    <col min="1" max="1" width="28" customWidth="1"/>
    <col min="2" max="2" width="16" customWidth="1"/>
    <col min="3" max="4" width="13" customWidth="1"/>
    <col min="5" max="50" width="12" customWidth="1"/>
  </cols>
  <sheetData>
    <row r="1" spans="1:50" ht="18.75" x14ac:dyDescent="0.3">
      <c r="A1" s="8" t="s">
        <v>305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</row>
    <row r="2" spans="1:50" x14ac:dyDescent="0.2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</row>
    <row r="3" spans="1:50" x14ac:dyDescent="0.25">
      <c r="A3" s="10" t="s">
        <v>306</v>
      </c>
      <c r="B3" s="10" t="s">
        <v>7</v>
      </c>
      <c r="C3" s="10" t="s">
        <v>8</v>
      </c>
      <c r="D3" s="10" t="s">
        <v>9</v>
      </c>
      <c r="E3" s="10" t="s">
        <v>5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</row>
    <row r="4" spans="1:50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</row>
    <row r="5" spans="1:50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</row>
    <row r="6" spans="1:50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</row>
    <row r="7" spans="1:50" x14ac:dyDescent="0.2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</row>
    <row r="8" spans="1:50" x14ac:dyDescent="0.2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</row>
    <row r="9" spans="1:50" x14ac:dyDescent="0.2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</row>
    <row r="10" spans="1:50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</row>
    <row r="11" spans="1:50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</row>
    <row r="12" spans="1:50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</row>
    <row r="13" spans="1:50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</row>
    <row r="14" spans="1:50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</row>
    <row r="15" spans="1:50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</row>
    <row r="16" spans="1:50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</row>
    <row r="17" spans="1:50" x14ac:dyDescent="0.2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</row>
    <row r="18" spans="1:50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</row>
    <row r="19" spans="1:50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</row>
    <row r="20" spans="1:50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</row>
    <row r="21" spans="1:50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</row>
    <row r="22" spans="1:50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</row>
    <row r="23" spans="1:50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</row>
    <row r="24" spans="1:50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</row>
    <row r="25" spans="1:50" x14ac:dyDescent="0.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</row>
    <row r="26" spans="1:50" x14ac:dyDescent="0.2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</row>
    <row r="27" spans="1:50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</row>
    <row r="28" spans="1:50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</row>
    <row r="29" spans="1:50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</row>
    <row r="30" spans="1:50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</row>
    <row r="31" spans="1:50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</row>
    <row r="32" spans="1:50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</row>
    <row r="33" spans="1:50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</row>
    <row r="34" spans="1:50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</row>
    <row r="35" spans="1:50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</row>
    <row r="36" spans="1:50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</row>
    <row r="37" spans="1:50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</row>
    <row r="38" spans="1:50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</row>
    <row r="39" spans="1:50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</row>
    <row r="40" spans="1:50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</row>
    <row r="41" spans="1:50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</row>
    <row r="42" spans="1:50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</row>
    <row r="43" spans="1:50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</row>
    <row r="44" spans="1:50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</row>
    <row r="45" spans="1:50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</row>
    <row r="46" spans="1:50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</row>
    <row r="47" spans="1:50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</row>
    <row r="48" spans="1:50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</row>
    <row r="49" spans="1:50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</row>
    <row r="50" spans="1:50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</row>
    <row r="51" spans="1:50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</row>
    <row r="52" spans="1:50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</row>
    <row r="53" spans="1:50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</row>
    <row r="54" spans="1:50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</row>
    <row r="55" spans="1:50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</row>
    <row r="56" spans="1:50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</row>
    <row r="57" spans="1:50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</row>
    <row r="58" spans="1:50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</row>
    <row r="59" spans="1:50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</row>
    <row r="60" spans="1:50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</row>
    <row r="61" spans="1:50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</row>
    <row r="62" spans="1:50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</row>
    <row r="63" spans="1:50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</row>
    <row r="64" spans="1:50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</row>
    <row r="65" spans="1:50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</row>
    <row r="66" spans="1:50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</row>
    <row r="67" spans="1:50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</row>
    <row r="68" spans="1:50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</row>
    <row r="69" spans="1:50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</row>
    <row r="70" spans="1:50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</row>
    <row r="71" spans="1:50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</row>
    <row r="72" spans="1:50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</row>
    <row r="73" spans="1:50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</row>
    <row r="74" spans="1:50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</row>
    <row r="75" spans="1:50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</row>
    <row r="76" spans="1:50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</row>
    <row r="77" spans="1:50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</row>
    <row r="78" spans="1:50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</row>
    <row r="79" spans="1:50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</row>
    <row r="80" spans="1:50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</row>
    <row r="81" spans="1:50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</row>
    <row r="82" spans="1:50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</row>
    <row r="83" spans="1:50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</row>
    <row r="84" spans="1:50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</row>
    <row r="85" spans="1:50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</row>
    <row r="86" spans="1:50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</row>
    <row r="87" spans="1:50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</row>
    <row r="88" spans="1:50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</row>
    <row r="89" spans="1:50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</row>
    <row r="90" spans="1:50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</row>
    <row r="91" spans="1:50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</row>
    <row r="92" spans="1:50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</row>
    <row r="93" spans="1:50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</row>
    <row r="94" spans="1:50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</row>
    <row r="95" spans="1:50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</row>
    <row r="96" spans="1:50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</row>
    <row r="97" spans="1:50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</row>
    <row r="98" spans="1:50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</row>
    <row r="99" spans="1:50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</row>
    <row r="100" spans="1:50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X100"/>
  <sheetViews>
    <sheetView workbookViewId="0"/>
  </sheetViews>
  <sheetFormatPr defaultRowHeight="15" x14ac:dyDescent="0.25"/>
  <cols>
    <col min="1" max="1" width="28" customWidth="1"/>
    <col min="2" max="2" width="17" customWidth="1"/>
    <col min="3" max="3" width="25" customWidth="1"/>
    <col min="4" max="4" width="12" customWidth="1"/>
    <col min="5" max="5" width="13" customWidth="1"/>
    <col min="6" max="6" width="17" customWidth="1"/>
    <col min="7" max="7" width="13" customWidth="1"/>
    <col min="8" max="50" width="12" customWidth="1"/>
  </cols>
  <sheetData>
    <row r="1" spans="1:50" ht="18.75" x14ac:dyDescent="0.3">
      <c r="A1" s="8" t="s">
        <v>307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</row>
    <row r="2" spans="1:50" x14ac:dyDescent="0.2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</row>
    <row r="3" spans="1:50" x14ac:dyDescent="0.25">
      <c r="A3" s="11" t="s">
        <v>306</v>
      </c>
      <c r="B3" s="11" t="s">
        <v>308</v>
      </c>
      <c r="C3" s="11" t="s">
        <v>309</v>
      </c>
      <c r="D3" s="11" t="s">
        <v>310</v>
      </c>
      <c r="E3" s="11" t="s">
        <v>311</v>
      </c>
      <c r="F3" s="11" t="s">
        <v>312</v>
      </c>
      <c r="G3" s="11" t="s">
        <v>313</v>
      </c>
      <c r="H3" s="11" t="s">
        <v>314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</row>
    <row r="4" spans="1:50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</row>
    <row r="5" spans="1:50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</row>
    <row r="6" spans="1:50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</row>
    <row r="7" spans="1:50" x14ac:dyDescent="0.2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</row>
    <row r="8" spans="1:50" x14ac:dyDescent="0.2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</row>
    <row r="9" spans="1:50" x14ac:dyDescent="0.2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</row>
    <row r="10" spans="1:50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</row>
    <row r="11" spans="1:50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</row>
    <row r="12" spans="1:50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</row>
    <row r="13" spans="1:50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</row>
    <row r="14" spans="1:50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</row>
    <row r="15" spans="1:50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</row>
    <row r="16" spans="1:50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</row>
    <row r="17" spans="1:50" x14ac:dyDescent="0.2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</row>
    <row r="18" spans="1:50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</row>
    <row r="19" spans="1:50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</row>
    <row r="20" spans="1:50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</row>
    <row r="21" spans="1:50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</row>
    <row r="22" spans="1:50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</row>
    <row r="23" spans="1:50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</row>
    <row r="24" spans="1:50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</row>
    <row r="25" spans="1:50" x14ac:dyDescent="0.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</row>
    <row r="26" spans="1:50" x14ac:dyDescent="0.2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</row>
    <row r="27" spans="1:50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</row>
    <row r="28" spans="1:50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</row>
    <row r="29" spans="1:50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</row>
    <row r="30" spans="1:50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</row>
    <row r="31" spans="1:50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</row>
    <row r="32" spans="1:50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</row>
    <row r="33" spans="1:50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</row>
    <row r="34" spans="1:50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</row>
    <row r="35" spans="1:50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</row>
    <row r="36" spans="1:50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</row>
    <row r="37" spans="1:50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</row>
    <row r="38" spans="1:50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</row>
    <row r="39" spans="1:50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</row>
    <row r="40" spans="1:50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</row>
    <row r="41" spans="1:50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</row>
    <row r="42" spans="1:50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</row>
    <row r="43" spans="1:50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</row>
    <row r="44" spans="1:50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</row>
    <row r="45" spans="1:50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</row>
    <row r="46" spans="1:50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</row>
    <row r="47" spans="1:50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</row>
    <row r="48" spans="1:50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</row>
    <row r="49" spans="1:50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</row>
    <row r="50" spans="1:50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</row>
    <row r="51" spans="1:50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</row>
    <row r="52" spans="1:50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</row>
    <row r="53" spans="1:50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</row>
    <row r="54" spans="1:50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</row>
    <row r="55" spans="1:50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</row>
    <row r="56" spans="1:50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</row>
    <row r="57" spans="1:50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</row>
    <row r="58" spans="1:50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</row>
    <row r="59" spans="1:50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</row>
    <row r="60" spans="1:50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</row>
    <row r="61" spans="1:50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</row>
    <row r="62" spans="1:50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</row>
    <row r="63" spans="1:50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</row>
    <row r="64" spans="1:50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</row>
    <row r="65" spans="1:50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</row>
    <row r="66" spans="1:50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</row>
    <row r="67" spans="1:50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</row>
    <row r="68" spans="1:50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</row>
    <row r="69" spans="1:50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</row>
    <row r="70" spans="1:50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</row>
    <row r="71" spans="1:50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</row>
    <row r="72" spans="1:50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</row>
    <row r="73" spans="1:50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</row>
    <row r="74" spans="1:50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</row>
    <row r="75" spans="1:50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</row>
    <row r="76" spans="1:50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</row>
    <row r="77" spans="1:50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</row>
    <row r="78" spans="1:50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</row>
    <row r="79" spans="1:50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</row>
    <row r="80" spans="1:50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</row>
    <row r="81" spans="1:50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</row>
    <row r="82" spans="1:50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</row>
    <row r="83" spans="1:50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</row>
    <row r="84" spans="1:50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</row>
    <row r="85" spans="1:50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</row>
    <row r="86" spans="1:50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</row>
    <row r="87" spans="1:50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</row>
    <row r="88" spans="1:50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</row>
    <row r="89" spans="1:50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</row>
    <row r="90" spans="1:50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</row>
    <row r="91" spans="1:50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</row>
    <row r="92" spans="1:50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</row>
    <row r="93" spans="1:50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</row>
    <row r="94" spans="1:50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</row>
    <row r="95" spans="1:50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</row>
    <row r="96" spans="1:50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</row>
    <row r="97" spans="1:50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</row>
    <row r="98" spans="1:50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</row>
    <row r="99" spans="1:50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</row>
    <row r="100" spans="1:50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X100"/>
  <sheetViews>
    <sheetView workbookViewId="0"/>
  </sheetViews>
  <sheetFormatPr defaultRowHeight="15" x14ac:dyDescent="0.25"/>
  <cols>
    <col min="1" max="1" width="26" customWidth="1"/>
    <col min="2" max="2" width="18" customWidth="1"/>
    <col min="3" max="3" width="16" customWidth="1"/>
    <col min="4" max="4" width="19" customWidth="1"/>
    <col min="5" max="5" width="15" customWidth="1"/>
    <col min="6" max="50" width="12" customWidth="1"/>
  </cols>
  <sheetData>
    <row r="1" spans="1:50" ht="18.75" x14ac:dyDescent="0.3">
      <c r="A1" s="8" t="s">
        <v>315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</row>
    <row r="2" spans="1:50" x14ac:dyDescent="0.2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</row>
    <row r="3" spans="1:50" x14ac:dyDescent="0.25">
      <c r="A3" s="12" t="s">
        <v>306</v>
      </c>
      <c r="B3" s="12" t="s">
        <v>14</v>
      </c>
      <c r="C3" s="12" t="s">
        <v>316</v>
      </c>
      <c r="D3" s="12" t="s">
        <v>16</v>
      </c>
      <c r="E3" s="12" t="s">
        <v>3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</row>
    <row r="4" spans="1:50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</row>
    <row r="5" spans="1:50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</row>
    <row r="6" spans="1:50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</row>
    <row r="7" spans="1:50" x14ac:dyDescent="0.2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</row>
    <row r="8" spans="1:50" x14ac:dyDescent="0.2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</row>
    <row r="9" spans="1:50" x14ac:dyDescent="0.2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</row>
    <row r="10" spans="1:50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</row>
    <row r="11" spans="1:50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</row>
    <row r="12" spans="1:50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</row>
    <row r="13" spans="1:50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</row>
    <row r="14" spans="1:50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</row>
    <row r="15" spans="1:50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</row>
    <row r="16" spans="1:50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</row>
    <row r="17" spans="1:50" x14ac:dyDescent="0.2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</row>
    <row r="18" spans="1:50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</row>
    <row r="19" spans="1:50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</row>
    <row r="20" spans="1:50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</row>
    <row r="21" spans="1:50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</row>
    <row r="22" spans="1:50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</row>
    <row r="23" spans="1:50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</row>
    <row r="24" spans="1:50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</row>
    <row r="25" spans="1:50" x14ac:dyDescent="0.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</row>
    <row r="26" spans="1:50" x14ac:dyDescent="0.2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</row>
    <row r="27" spans="1:50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</row>
    <row r="28" spans="1:50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</row>
    <row r="29" spans="1:50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</row>
    <row r="30" spans="1:50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</row>
    <row r="31" spans="1:50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</row>
    <row r="32" spans="1:50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</row>
    <row r="33" spans="1:50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</row>
    <row r="34" spans="1:50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</row>
    <row r="35" spans="1:50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</row>
    <row r="36" spans="1:50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</row>
    <row r="37" spans="1:50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</row>
    <row r="38" spans="1:50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</row>
    <row r="39" spans="1:50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</row>
    <row r="40" spans="1:50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</row>
    <row r="41" spans="1:50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</row>
    <row r="42" spans="1:50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</row>
    <row r="43" spans="1:50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</row>
    <row r="44" spans="1:50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</row>
    <row r="45" spans="1:50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</row>
    <row r="46" spans="1:50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</row>
    <row r="47" spans="1:50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</row>
    <row r="48" spans="1:50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</row>
    <row r="49" spans="1:50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</row>
    <row r="50" spans="1:50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</row>
    <row r="51" spans="1:50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</row>
    <row r="52" spans="1:50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</row>
    <row r="53" spans="1:50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</row>
    <row r="54" spans="1:50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</row>
    <row r="55" spans="1:50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</row>
    <row r="56" spans="1:50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</row>
    <row r="57" spans="1:50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</row>
    <row r="58" spans="1:50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</row>
    <row r="59" spans="1:50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</row>
    <row r="60" spans="1:50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</row>
    <row r="61" spans="1:50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</row>
    <row r="62" spans="1:50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</row>
    <row r="63" spans="1:50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</row>
    <row r="64" spans="1:50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</row>
    <row r="65" spans="1:50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</row>
    <row r="66" spans="1:50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</row>
    <row r="67" spans="1:50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</row>
    <row r="68" spans="1:50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</row>
    <row r="69" spans="1:50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</row>
    <row r="70" spans="1:50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</row>
    <row r="71" spans="1:50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</row>
    <row r="72" spans="1:50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</row>
    <row r="73" spans="1:50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</row>
    <row r="74" spans="1:50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</row>
    <row r="75" spans="1:50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</row>
    <row r="76" spans="1:50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</row>
    <row r="77" spans="1:50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</row>
    <row r="78" spans="1:50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</row>
    <row r="79" spans="1:50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</row>
    <row r="80" spans="1:50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</row>
    <row r="81" spans="1:50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</row>
    <row r="82" spans="1:50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</row>
    <row r="83" spans="1:50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</row>
    <row r="84" spans="1:50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</row>
    <row r="85" spans="1:50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</row>
    <row r="86" spans="1:50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</row>
    <row r="87" spans="1:50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</row>
    <row r="88" spans="1:50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</row>
    <row r="89" spans="1:50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</row>
    <row r="90" spans="1:50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</row>
    <row r="91" spans="1:50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</row>
    <row r="92" spans="1:50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</row>
    <row r="93" spans="1:50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</row>
    <row r="94" spans="1:50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</row>
    <row r="95" spans="1:50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</row>
    <row r="96" spans="1:50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</row>
    <row r="97" spans="1:50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</row>
    <row r="98" spans="1:50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</row>
    <row r="99" spans="1:50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</row>
    <row r="100" spans="1:50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X100"/>
  <sheetViews>
    <sheetView workbookViewId="0"/>
  </sheetViews>
  <sheetFormatPr defaultRowHeight="15" x14ac:dyDescent="0.25"/>
  <cols>
    <col min="1" max="1" width="24" customWidth="1"/>
    <col min="2" max="2" width="13" customWidth="1"/>
    <col min="3" max="3" width="14" customWidth="1"/>
    <col min="4" max="4" width="17" customWidth="1"/>
    <col min="5" max="50" width="12" customWidth="1"/>
  </cols>
  <sheetData>
    <row r="1" spans="1:50" ht="18.75" x14ac:dyDescent="0.3">
      <c r="A1" s="8" t="s">
        <v>317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</row>
    <row r="2" spans="1:50" x14ac:dyDescent="0.2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</row>
    <row r="3" spans="1:50" x14ac:dyDescent="0.25">
      <c r="A3" s="13" t="s">
        <v>318</v>
      </c>
      <c r="B3" s="13" t="s">
        <v>306</v>
      </c>
      <c r="C3" s="13" t="s">
        <v>319</v>
      </c>
      <c r="D3" s="13" t="s">
        <v>320</v>
      </c>
      <c r="E3" s="13" t="s">
        <v>321</v>
      </c>
      <c r="F3" s="13" t="s">
        <v>322</v>
      </c>
      <c r="G3" s="13" t="s">
        <v>323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</row>
    <row r="4" spans="1:50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</row>
    <row r="5" spans="1:50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</row>
    <row r="6" spans="1:50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</row>
    <row r="7" spans="1:50" x14ac:dyDescent="0.2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</row>
    <row r="8" spans="1:50" x14ac:dyDescent="0.2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</row>
    <row r="9" spans="1:50" x14ac:dyDescent="0.2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</row>
    <row r="10" spans="1:50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</row>
    <row r="11" spans="1:50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</row>
    <row r="12" spans="1:50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</row>
    <row r="13" spans="1:50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</row>
    <row r="14" spans="1:50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</row>
    <row r="15" spans="1:50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</row>
    <row r="16" spans="1:50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</row>
    <row r="17" spans="1:50" x14ac:dyDescent="0.2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</row>
    <row r="18" spans="1:50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</row>
    <row r="19" spans="1:50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</row>
    <row r="20" spans="1:50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</row>
    <row r="21" spans="1:50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</row>
    <row r="22" spans="1:50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</row>
    <row r="23" spans="1:50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</row>
    <row r="24" spans="1:50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</row>
    <row r="25" spans="1:50" x14ac:dyDescent="0.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</row>
    <row r="26" spans="1:50" x14ac:dyDescent="0.2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</row>
    <row r="27" spans="1:50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</row>
    <row r="28" spans="1:50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</row>
    <row r="29" spans="1:50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</row>
    <row r="30" spans="1:50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</row>
    <row r="31" spans="1:50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</row>
    <row r="32" spans="1:50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</row>
    <row r="33" spans="1:50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</row>
    <row r="34" spans="1:50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</row>
    <row r="35" spans="1:50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</row>
    <row r="36" spans="1:50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</row>
    <row r="37" spans="1:50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</row>
    <row r="38" spans="1:50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</row>
    <row r="39" spans="1:50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</row>
    <row r="40" spans="1:50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</row>
    <row r="41" spans="1:50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</row>
    <row r="42" spans="1:50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</row>
    <row r="43" spans="1:50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</row>
    <row r="44" spans="1:50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</row>
    <row r="45" spans="1:50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</row>
    <row r="46" spans="1:50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</row>
    <row r="47" spans="1:50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</row>
    <row r="48" spans="1:50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</row>
    <row r="49" spans="1:50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</row>
    <row r="50" spans="1:50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</row>
    <row r="51" spans="1:50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</row>
    <row r="52" spans="1:50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</row>
    <row r="53" spans="1:50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</row>
    <row r="54" spans="1:50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</row>
    <row r="55" spans="1:50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</row>
    <row r="56" spans="1:50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</row>
    <row r="57" spans="1:50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</row>
    <row r="58" spans="1:50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</row>
    <row r="59" spans="1:50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</row>
    <row r="60" spans="1:50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</row>
    <row r="61" spans="1:50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</row>
    <row r="62" spans="1:50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</row>
    <row r="63" spans="1:50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</row>
    <row r="64" spans="1:50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</row>
    <row r="65" spans="1:50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</row>
    <row r="66" spans="1:50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</row>
    <row r="67" spans="1:50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</row>
    <row r="68" spans="1:50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</row>
    <row r="69" spans="1:50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</row>
    <row r="70" spans="1:50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</row>
    <row r="71" spans="1:50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</row>
    <row r="72" spans="1:50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</row>
    <row r="73" spans="1:50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</row>
    <row r="74" spans="1:50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</row>
    <row r="75" spans="1:50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</row>
    <row r="76" spans="1:50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</row>
    <row r="77" spans="1:50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</row>
    <row r="78" spans="1:50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</row>
    <row r="79" spans="1:50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</row>
    <row r="80" spans="1:50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</row>
    <row r="81" spans="1:50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</row>
    <row r="82" spans="1:50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</row>
    <row r="83" spans="1:50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</row>
    <row r="84" spans="1:50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</row>
    <row r="85" spans="1:50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</row>
    <row r="86" spans="1:50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</row>
    <row r="87" spans="1:50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</row>
    <row r="88" spans="1:50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</row>
    <row r="89" spans="1:50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</row>
    <row r="90" spans="1:50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</row>
    <row r="91" spans="1:50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</row>
    <row r="92" spans="1:50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</row>
    <row r="93" spans="1:50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</row>
    <row r="94" spans="1:50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</row>
    <row r="95" spans="1:50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</row>
    <row r="96" spans="1:50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</row>
    <row r="97" spans="1:50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</row>
    <row r="98" spans="1:50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</row>
    <row r="99" spans="1:50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</row>
    <row r="100" spans="1:50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X100"/>
  <sheetViews>
    <sheetView tabSelected="1" workbookViewId="0"/>
  </sheetViews>
  <sheetFormatPr defaultRowHeight="15" x14ac:dyDescent="0.25"/>
  <cols>
    <col min="1" max="1" width="39" customWidth="1"/>
    <col min="2" max="3" width="12" customWidth="1"/>
    <col min="4" max="4" width="36" customWidth="1"/>
    <col min="5" max="5" width="27" customWidth="1"/>
    <col min="6" max="6" width="15" customWidth="1"/>
    <col min="7" max="50" width="12" customWidth="1"/>
  </cols>
  <sheetData>
    <row r="1" spans="1:50" ht="18.75" x14ac:dyDescent="0.3">
      <c r="A1" s="8" t="s">
        <v>324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</row>
    <row r="2" spans="1:50" x14ac:dyDescent="0.2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</row>
    <row r="3" spans="1:50" x14ac:dyDescent="0.25">
      <c r="A3" s="13" t="s">
        <v>325</v>
      </c>
      <c r="B3" s="13" t="s">
        <v>326</v>
      </c>
      <c r="C3" s="13" t="s">
        <v>327</v>
      </c>
      <c r="D3" s="13" t="s">
        <v>328</v>
      </c>
      <c r="E3" s="13" t="s">
        <v>329</v>
      </c>
      <c r="F3" s="13" t="s">
        <v>322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</row>
    <row r="4" spans="1:50" x14ac:dyDescent="0.25">
      <c r="A4" s="7" t="s">
        <v>0</v>
      </c>
      <c r="B4" s="7" t="s">
        <v>330</v>
      </c>
      <c r="C4" s="7" t="s">
        <v>331</v>
      </c>
      <c r="D4" s="7" t="s">
        <v>332</v>
      </c>
      <c r="E4" s="7" t="s">
        <v>32</v>
      </c>
      <c r="F4" s="7" t="s">
        <v>1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</row>
    <row r="5" spans="1:50" x14ac:dyDescent="0.25">
      <c r="A5" s="7" t="s">
        <v>1</v>
      </c>
      <c r="B5" s="7" t="s">
        <v>330</v>
      </c>
      <c r="C5" s="7" t="s">
        <v>333</v>
      </c>
      <c r="D5" s="7" t="s">
        <v>334</v>
      </c>
      <c r="E5" s="7" t="s">
        <v>33</v>
      </c>
      <c r="F5" s="7" t="s">
        <v>335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</row>
    <row r="6" spans="1:50" x14ac:dyDescent="0.25">
      <c r="A6" s="7" t="s">
        <v>2</v>
      </c>
      <c r="B6" s="7" t="s">
        <v>330</v>
      </c>
      <c r="C6" s="7" t="s">
        <v>336</v>
      </c>
      <c r="D6" s="7" t="s">
        <v>337</v>
      </c>
      <c r="E6" s="7" t="s">
        <v>34</v>
      </c>
      <c r="F6" s="7" t="s">
        <v>338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</row>
    <row r="7" spans="1:50" x14ac:dyDescent="0.25">
      <c r="A7" s="7" t="s">
        <v>3</v>
      </c>
      <c r="B7" s="7" t="s">
        <v>330</v>
      </c>
      <c r="C7" s="7" t="s">
        <v>336</v>
      </c>
      <c r="D7" s="7" t="s">
        <v>339</v>
      </c>
      <c r="E7" s="7" t="s">
        <v>35</v>
      </c>
      <c r="F7" s="7" t="s">
        <v>340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</row>
    <row r="8" spans="1:50" x14ac:dyDescent="0.25">
      <c r="A8" s="7" t="s">
        <v>4</v>
      </c>
      <c r="B8" s="7" t="s">
        <v>330</v>
      </c>
      <c r="C8" s="7" t="s">
        <v>318</v>
      </c>
      <c r="D8" s="7" t="s">
        <v>341</v>
      </c>
      <c r="E8" s="7" t="s">
        <v>342</v>
      </c>
      <c r="F8" s="7" t="s">
        <v>343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</row>
    <row r="9" spans="1:50" x14ac:dyDescent="0.25">
      <c r="A9" s="7" t="s">
        <v>7</v>
      </c>
      <c r="B9" s="7" t="s">
        <v>344</v>
      </c>
      <c r="C9" s="7" t="s">
        <v>336</v>
      </c>
      <c r="D9" s="7" t="s">
        <v>345</v>
      </c>
      <c r="E9" s="7" t="s">
        <v>37</v>
      </c>
      <c r="F9" s="7" t="s">
        <v>346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</row>
    <row r="10" spans="1:50" x14ac:dyDescent="0.25">
      <c r="A10" s="7" t="s">
        <v>8</v>
      </c>
      <c r="B10" s="7" t="s">
        <v>344</v>
      </c>
      <c r="C10" s="7" t="s">
        <v>347</v>
      </c>
      <c r="D10" s="7" t="s">
        <v>348</v>
      </c>
      <c r="E10" s="7" t="s">
        <v>38</v>
      </c>
      <c r="F10" s="7" t="s">
        <v>346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</row>
    <row r="11" spans="1:50" x14ac:dyDescent="0.25">
      <c r="A11" s="7" t="s">
        <v>17</v>
      </c>
      <c r="B11" s="7" t="s">
        <v>349</v>
      </c>
      <c r="C11" s="7" t="s">
        <v>350</v>
      </c>
      <c r="D11" s="7" t="s">
        <v>351</v>
      </c>
      <c r="E11" s="7" t="s">
        <v>47</v>
      </c>
      <c r="F11" s="7" t="s">
        <v>352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</row>
    <row r="12" spans="1:50" x14ac:dyDescent="0.25">
      <c r="A12" s="7" t="s">
        <v>21</v>
      </c>
      <c r="B12" s="7" t="s">
        <v>353</v>
      </c>
      <c r="C12" s="7" t="s">
        <v>350</v>
      </c>
      <c r="D12" s="7" t="s">
        <v>354</v>
      </c>
      <c r="E12" s="7" t="s">
        <v>355</v>
      </c>
      <c r="F12" s="7" t="s">
        <v>356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</row>
    <row r="13" spans="1:50" x14ac:dyDescent="0.25">
      <c r="A13" s="7" t="s">
        <v>25</v>
      </c>
      <c r="B13" s="7" t="s">
        <v>353</v>
      </c>
      <c r="C13" s="7" t="s">
        <v>347</v>
      </c>
      <c r="D13" s="7" t="s">
        <v>357</v>
      </c>
      <c r="E13" s="7" t="s">
        <v>358</v>
      </c>
      <c r="F13" s="7" t="s">
        <v>359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</row>
    <row r="14" spans="1:50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</row>
    <row r="15" spans="1:50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</row>
    <row r="16" spans="1:50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</row>
    <row r="17" spans="1:50" x14ac:dyDescent="0.2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</row>
    <row r="18" spans="1:50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</row>
    <row r="19" spans="1:50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</row>
    <row r="20" spans="1:50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</row>
    <row r="21" spans="1:50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</row>
    <row r="22" spans="1:50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</row>
    <row r="23" spans="1:50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</row>
    <row r="24" spans="1:50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</row>
    <row r="25" spans="1:50" x14ac:dyDescent="0.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</row>
    <row r="26" spans="1:50" x14ac:dyDescent="0.2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</row>
    <row r="27" spans="1:50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</row>
    <row r="28" spans="1:50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</row>
    <row r="29" spans="1:50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</row>
    <row r="30" spans="1:50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</row>
    <row r="31" spans="1:50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</row>
    <row r="32" spans="1:50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</row>
    <row r="33" spans="1:50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</row>
    <row r="34" spans="1:50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</row>
    <row r="35" spans="1:50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</row>
    <row r="36" spans="1:50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</row>
    <row r="37" spans="1:50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</row>
    <row r="38" spans="1:50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</row>
    <row r="39" spans="1:50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</row>
    <row r="40" spans="1:50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</row>
    <row r="41" spans="1:50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</row>
    <row r="42" spans="1:50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</row>
    <row r="43" spans="1:50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</row>
    <row r="44" spans="1:50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</row>
    <row r="45" spans="1:50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</row>
    <row r="46" spans="1:50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</row>
    <row r="47" spans="1:50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</row>
    <row r="48" spans="1:50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</row>
    <row r="49" spans="1:50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</row>
    <row r="50" spans="1:50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</row>
    <row r="51" spans="1:50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</row>
    <row r="52" spans="1:50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</row>
    <row r="53" spans="1:50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</row>
    <row r="54" spans="1:50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</row>
    <row r="55" spans="1:50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</row>
    <row r="56" spans="1:50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</row>
    <row r="57" spans="1:50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</row>
    <row r="58" spans="1:50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</row>
    <row r="59" spans="1:50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</row>
    <row r="60" spans="1:50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</row>
    <row r="61" spans="1:50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</row>
    <row r="62" spans="1:50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</row>
    <row r="63" spans="1:50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</row>
    <row r="64" spans="1:50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</row>
    <row r="65" spans="1:50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</row>
    <row r="66" spans="1:50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</row>
    <row r="67" spans="1:50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</row>
    <row r="68" spans="1:50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</row>
    <row r="69" spans="1:50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</row>
    <row r="70" spans="1:50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</row>
    <row r="71" spans="1:50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</row>
    <row r="72" spans="1:50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</row>
    <row r="73" spans="1:50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</row>
    <row r="74" spans="1:50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</row>
    <row r="75" spans="1:50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</row>
    <row r="76" spans="1:50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</row>
    <row r="77" spans="1:50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</row>
    <row r="78" spans="1:50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</row>
    <row r="79" spans="1:50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</row>
    <row r="80" spans="1:50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</row>
    <row r="81" spans="1:50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</row>
    <row r="82" spans="1:50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</row>
    <row r="83" spans="1:50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</row>
    <row r="84" spans="1:50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</row>
    <row r="85" spans="1:50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</row>
    <row r="86" spans="1:50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</row>
    <row r="87" spans="1:50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</row>
    <row r="88" spans="1:50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</row>
    <row r="89" spans="1:50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</row>
    <row r="90" spans="1:50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</row>
    <row r="91" spans="1:50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</row>
    <row r="92" spans="1:50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</row>
    <row r="93" spans="1:50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</row>
    <row r="94" spans="1:50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</row>
    <row r="95" spans="1:50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</row>
    <row r="96" spans="1:50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</row>
    <row r="97" spans="1:50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</row>
    <row r="98" spans="1:50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</row>
    <row r="99" spans="1:50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</row>
    <row r="100" spans="1:50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Competitors</vt:lpstr>
      <vt:lpstr>Dashboard</vt:lpstr>
      <vt:lpstr>Pricing Matrix</vt:lpstr>
      <vt:lpstr>Feature Matrix</vt:lpstr>
      <vt:lpstr>Market Segments</vt:lpstr>
      <vt:lpstr>Change Log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Connor Hickey</cp:lastModifiedBy>
  <dcterms:created xsi:type="dcterms:W3CDTF">2026-01-17T05:34:34Z</dcterms:created>
  <dcterms:modified xsi:type="dcterms:W3CDTF">2026-01-17T07:37:25Z</dcterms:modified>
</cp:coreProperties>
</file>