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icing Matrix" sheetId="3" state="visible" r:id="rId3"/>
    <sheet xmlns:r="http://schemas.openxmlformats.org/officeDocument/2006/relationships" name="Feature Matrix" sheetId="4" state="visible" r:id="rId4"/>
    <sheet xmlns:r="http://schemas.openxmlformats.org/officeDocument/2006/relationships" name="Market Segments" sheetId="5" state="visible" r:id="rId5"/>
    <sheet xmlns:r="http://schemas.openxmlformats.org/officeDocument/2006/relationships" name="Change Log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8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  <fill>
      <patternFill patternType="solid">
        <fgColor rgb="00C65911"/>
        <bgColor rgb="00C65911"/>
      </patternFill>
    </fill>
    <fill>
      <patternFill patternType="solid">
        <fgColor rgb="00305496"/>
        <bgColor rgb="00305496"/>
      </patternFill>
    </fill>
    <fill>
      <patternFill patternType="solid">
        <fgColor rgb="00BF8F00"/>
        <bgColor rgb="00BF8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8" borderId="0" pivotButton="0" quotePrefix="0" xfId="0"/>
    <xf numFmtId="0" fontId="2" fillId="8" borderId="0" pivotButton="0" quotePrefix="0" xfId="0"/>
    <xf numFmtId="0" fontId="3" fillId="8" borderId="0" pivotButton="0" quotePrefix="0" xfId="0"/>
    <xf numFmtId="0" fontId="4" fillId="8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21" customWidth="1" min="7" max="7"/>
    <col width="16" customWidth="1" min="8" max="8"/>
    <col width="13" customWidth="1" min="9" max="9"/>
    <col width="13" customWidth="1" min="10" max="10"/>
    <col width="21" customWidth="1" min="11" max="11"/>
    <col width="15" customWidth="1" min="12" max="12"/>
    <col width="23" customWidth="1" min="13" max="13"/>
    <col width="17" customWidth="1" min="14" max="14"/>
    <col width="18" customWidth="1" min="15" max="15"/>
    <col width="22" customWidth="1" min="16" max="16"/>
    <col width="19" customWidth="1" min="17" max="17"/>
    <col width="17" customWidth="1" min="18" max="18"/>
    <col width="28" customWidth="1" min="19" max="19"/>
    <col width="16" customWidth="1" min="20" max="20"/>
    <col width="12" customWidth="1" min="21" max="21"/>
    <col width="17" customWidth="1" min="22" max="22"/>
    <col width="23" customWidth="1" min="23" max="23"/>
    <col width="15" customWidth="1" min="24" max="24"/>
    <col width="15" customWidth="1" min="25" max="25"/>
    <col width="16" customWidth="1" min="26" max="26"/>
    <col width="15" customWidth="1" min="27" max="27"/>
    <col width="16" customWidth="1" min="28" max="28"/>
    <col width="28" customWidth="1" min="29" max="29"/>
    <col width="19" customWidth="1" min="30" max="30"/>
    <col width="26" customWidth="1" min="31" max="31"/>
    <col width="22" customWidth="1" min="32" max="32"/>
  </cols>
  <sheetData>
    <row r="1">
      <c r="A1" s="1" t="inlineStr">
        <is>
          <t>Competitor Name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Threat Level</t>
        </is>
      </c>
      <c r="E1" s="1" t="inlineStr">
        <is>
          <t>Last Updated</t>
        </is>
      </c>
      <c r="F1" s="1" t="inlineStr">
        <is>
          <t>Notes</t>
        </is>
      </c>
      <c r="G1" s="1" t="inlineStr">
        <is>
          <t>Data Quality Score</t>
        </is>
      </c>
      <c r="H1" s="2" t="inlineStr">
        <is>
          <t>Pricing Model</t>
        </is>
      </c>
      <c r="I1" s="2" t="inlineStr">
        <is>
          <t>Base Price</t>
        </is>
      </c>
      <c r="J1" s="2" t="inlineStr">
        <is>
          <t>Price Unit</t>
        </is>
      </c>
      <c r="K1" s="3" t="inlineStr">
        <is>
          <t>Product Categories</t>
        </is>
      </c>
      <c r="L1" s="3" t="inlineStr">
        <is>
          <t>Key Features</t>
        </is>
      </c>
      <c r="M1" s="3" t="inlineStr">
        <is>
          <t>Integration Partners</t>
        </is>
      </c>
      <c r="N1" s="3" t="inlineStr">
        <is>
          <t>Certifications</t>
        </is>
      </c>
      <c r="O1" s="4" t="inlineStr">
        <is>
          <t>Target Segments</t>
        </is>
      </c>
      <c r="P1" s="4" t="inlineStr">
        <is>
          <t>Customer Size Focus</t>
        </is>
      </c>
      <c r="Q1" s="4" t="inlineStr">
        <is>
          <t>Geographic Focus</t>
        </is>
      </c>
      <c r="R1" s="4" t="inlineStr">
        <is>
          <t>Customer Count</t>
        </is>
      </c>
      <c r="S1" s="4" t="inlineStr">
        <is>
          <t>Customer Acquisition Rate</t>
        </is>
      </c>
      <c r="T1" s="4" t="inlineStr">
        <is>
          <t>Key Customers</t>
        </is>
      </c>
      <c r="U1" s="4" t="inlineStr">
        <is>
          <t>G2 Rating</t>
        </is>
      </c>
      <c r="V1" s="5" t="inlineStr">
        <is>
          <t>Employee Count</t>
        </is>
      </c>
      <c r="W1" s="5" t="inlineStr">
        <is>
          <t>Employee Growth Rate</t>
        </is>
      </c>
      <c r="X1" s="5" t="inlineStr">
        <is>
          <t>Year Founded</t>
        </is>
      </c>
      <c r="Y1" s="5" t="inlineStr">
        <is>
          <t>Headquarters</t>
        </is>
      </c>
      <c r="Z1" s="5" t="inlineStr">
        <is>
          <t>Funding Total</t>
        </is>
      </c>
      <c r="AA1" s="5" t="inlineStr">
        <is>
          <t>Latest Round</t>
        </is>
      </c>
      <c r="AB1" s="5" t="inlineStr">
        <is>
          <t>PE/VC Backers</t>
        </is>
      </c>
      <c r="AC1" s="6" t="inlineStr">
        <is>
          <t>Website Traffic (Monthly)</t>
        </is>
      </c>
      <c r="AD1" s="6" t="inlineStr">
        <is>
          <t>Social Following</t>
        </is>
      </c>
      <c r="AE1" s="6" t="inlineStr">
        <is>
          <t>Recent Product Launches</t>
        </is>
      </c>
      <c r="AF1" s="6" t="inlineStr">
        <is>
          <t>News Mentions (30d)</t>
        </is>
      </c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</row>
  </sheetData>
  <dataValidations count="4">
    <dataValidation sqref="C2:C100" showDropDown="0" showInputMessage="0" showErrorMessage="0" allowBlank="0" type="list">
      <formula1>"Active,Inactive,Acquired,Watch"</formula1>
    </dataValidation>
    <dataValidation sqref="D2:D100" showDropDown="0" showInputMessage="0" showErrorMessage="0" allowBlank="0" type="list">
      <formula1>"High,Medium,Low,Watch"</formula1>
    </dataValidation>
    <dataValidation sqref="H2:H100" showDropDown="0" showInputMessage="0" showErrorMessage="0" allowBlank="0" type="list">
      <formula1>"Per User,Per Provider,Per Location,Per Visit,Flat Rate,Tiered,Custom,Unknown"</formula1>
    </dataValidation>
    <dataValidation sqref="P2:P100" showDropDown="0" showInputMessage="0" showErrorMessage="0" allowBlank="0" type="list">
      <formula1>"Solo,Small (1-15),Medium (15-50),Large (50+),Enterprise,All Sizes"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Certify Intel - Competitive Intelligence Dashboard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9" t="inlineStr">
        <is>
          <t>Summary Metrics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10" t="inlineStr">
        <is>
          <t>Total Competitors</t>
        </is>
      </c>
      <c r="B4" s="7">
        <f>COUNTA(Competitors!A:A)-1</f>
        <v/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10" t="inlineStr">
        <is>
          <t>High Threat</t>
        </is>
      </c>
      <c r="B5" s="7">
        <f>COUNTIF(Competitors!D:D,"High")</f>
        <v/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10" t="inlineStr">
        <is>
          <t>Medium Threat</t>
        </is>
      </c>
      <c r="B6" s="7">
        <f>COUNTIF(Competitors!D:D,"Medium")</f>
        <v/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10" t="inlineStr">
        <is>
          <t>Low Threat</t>
        </is>
      </c>
      <c r="B7" s="7">
        <f>COUNTIF(Competitors!D:D,"Low")</f>
        <v/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10" t="inlineStr">
        <is>
          <t>Active Competitors</t>
        </is>
      </c>
      <c r="B8" s="7">
        <f>COUNTIF(Competitors!C:C,"Active")</f>
        <v/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3" customWidth="1" min="3" max="3"/>
    <col width="13" customWidth="1" min="4" max="4"/>
    <col width="12" customWidth="1" min="5" max="5"/>
  </cols>
  <sheetData>
    <row r="1">
      <c r="A1" s="9" t="inlineStr">
        <is>
          <t>Pricing Comparison Matrix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11" t="inlineStr">
        <is>
          <t>Competitor</t>
        </is>
      </c>
      <c r="B3" s="11" t="inlineStr">
        <is>
          <t>Pricing Model</t>
        </is>
      </c>
      <c r="C3" s="11" t="inlineStr">
        <is>
          <t>Base Price</t>
        </is>
      </c>
      <c r="D3" s="11" t="inlineStr">
        <is>
          <t>Price Unit</t>
        </is>
      </c>
      <c r="E3" s="11" t="inlineStr">
        <is>
          <t>Notes</t>
        </is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5" customWidth="1" min="3" max="3"/>
    <col width="12" customWidth="1" min="4" max="4"/>
    <col width="13" customWidth="1" min="5" max="5"/>
    <col width="17" customWidth="1" min="6" max="6"/>
    <col width="13" customWidth="1" min="7" max="7"/>
    <col width="12" customWidth="1" min="8" max="8"/>
  </cols>
  <sheetData>
    <row r="1">
      <c r="A1" s="9" t="inlineStr">
        <is>
          <t>Feature Comparison Matrix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12" t="inlineStr">
        <is>
          <t>Competitor</t>
        </is>
      </c>
      <c r="B3" s="12" t="inlineStr">
        <is>
          <t>Patient Intake</t>
        </is>
      </c>
      <c r="C3" s="12" t="inlineStr">
        <is>
          <t>Insurance Verification</t>
        </is>
      </c>
      <c r="D3" s="12" t="inlineStr">
        <is>
          <t>Payments</t>
        </is>
      </c>
      <c r="E3" s="12" t="inlineStr">
        <is>
          <t>Scheduling</t>
        </is>
      </c>
      <c r="F3" s="12" t="inlineStr">
        <is>
          <t>Patient Portal</t>
        </is>
      </c>
      <c r="G3" s="12" t="inlineStr">
        <is>
          <t>Telehealth</t>
        </is>
      </c>
      <c r="H3" s="12" t="inlineStr">
        <is>
          <t>RCM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9" customWidth="1" min="4" max="4"/>
    <col width="15" customWidth="1" min="5" max="5"/>
  </cols>
  <sheetData>
    <row r="1">
      <c r="A1" s="9" t="inlineStr">
        <is>
          <t>Market Segment Analysis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13" t="inlineStr">
        <is>
          <t>Competitor</t>
        </is>
      </c>
      <c r="B3" s="13" t="inlineStr">
        <is>
          <t>Target Segments</t>
        </is>
      </c>
      <c r="C3" s="13" t="inlineStr">
        <is>
          <t>Customer Size</t>
        </is>
      </c>
      <c r="D3" s="13" t="inlineStr">
        <is>
          <t>Geographic Focus</t>
        </is>
      </c>
      <c r="E3" s="13" t="inlineStr">
        <is>
          <t>Threat Level</t>
        </is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9" t="inlineStr">
        <is>
          <t>Competitor Change Log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14" t="inlineStr">
        <is>
          <t>Date</t>
        </is>
      </c>
      <c r="B3" s="14" t="inlineStr">
        <is>
          <t>Competitor</t>
        </is>
      </c>
      <c r="C3" s="14" t="inlineStr">
        <is>
          <t>Change Type</t>
        </is>
      </c>
      <c r="D3" s="14" t="inlineStr">
        <is>
          <t>Previous Value</t>
        </is>
      </c>
      <c r="E3" s="14" t="inlineStr">
        <is>
          <t>New Value</t>
        </is>
      </c>
      <c r="F3" s="14" t="inlineStr">
        <is>
          <t>Source</t>
        </is>
      </c>
      <c r="G3" s="14" t="inlineStr">
        <is>
          <t>Severity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36" customWidth="1" min="4" max="4"/>
    <col width="27" customWidth="1" min="5" max="5"/>
    <col width="15" customWidth="1" min="6" max="6"/>
  </cols>
  <sheetData>
    <row r="1">
      <c r="A1" s="9" t="inlineStr">
        <is>
          <t>Data Dictionary - Column Definitions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</row>
    <row r="3">
      <c r="A3" s="14" t="inlineStr">
        <is>
          <t>Column Name</t>
        </is>
      </c>
      <c r="B3" s="14" t="inlineStr">
        <is>
          <t>Category</t>
        </is>
      </c>
      <c r="C3" s="14" t="inlineStr">
        <is>
          <t>Data Type</t>
        </is>
      </c>
      <c r="D3" s="14" t="inlineStr">
        <is>
          <t>Description</t>
        </is>
      </c>
      <c r="E3" s="14" t="inlineStr">
        <is>
          <t>Example</t>
        </is>
      </c>
      <c r="F3" s="14" t="inlineStr">
        <is>
          <t>Source</t>
        </is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</row>
    <row r="4">
      <c r="A4" s="7" t="inlineStr">
        <is>
          <t>Competitor Name</t>
        </is>
      </c>
      <c r="B4" s="7" t="inlineStr">
        <is>
          <t>Core</t>
        </is>
      </c>
      <c r="C4" s="7" t="inlineStr">
        <is>
          <t>Text</t>
        </is>
      </c>
      <c r="D4" s="7" t="inlineStr">
        <is>
          <t>Official company name</t>
        </is>
      </c>
      <c r="E4" s="7" t="inlineStr">
        <is>
          <t>Phreesia</t>
        </is>
      </c>
      <c r="F4" s="7" t="inlineStr">
        <is>
          <t>Website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</row>
    <row r="5">
      <c r="A5" s="7" t="inlineStr">
        <is>
          <t>Website</t>
        </is>
      </c>
      <c r="B5" s="7" t="inlineStr">
        <is>
          <t>Core</t>
        </is>
      </c>
      <c r="C5" s="7" t="inlineStr">
        <is>
          <t>URL</t>
        </is>
      </c>
      <c r="D5" s="7" t="inlineStr">
        <is>
          <t>Primary company website</t>
        </is>
      </c>
      <c r="E5" s="7" t="inlineStr">
        <is>
          <t>https://www.phreesia.com</t>
        </is>
      </c>
      <c r="F5" s="7" t="inlineStr">
        <is>
          <t>Direct</t>
        </is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</row>
    <row r="6">
      <c r="A6" s="7" t="inlineStr">
        <is>
          <t>Status</t>
        </is>
      </c>
      <c r="B6" s="7" t="inlineStr">
        <is>
          <t>Core</t>
        </is>
      </c>
      <c r="C6" s="7" t="inlineStr">
        <is>
          <t>Dropdown</t>
        </is>
      </c>
      <c r="D6" s="7" t="inlineStr">
        <is>
          <t>Active, Inactive, Acquired, Watch</t>
        </is>
      </c>
      <c r="E6" s="7" t="inlineStr">
        <is>
          <t>Active</t>
        </is>
      </c>
      <c r="F6" s="7" t="inlineStr">
        <is>
          <t>Manual</t>
        </is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>
      <c r="A7" s="7" t="inlineStr">
        <is>
          <t>Threat Level</t>
        </is>
      </c>
      <c r="B7" s="7" t="inlineStr">
        <is>
          <t>Core</t>
        </is>
      </c>
      <c r="C7" s="7" t="inlineStr">
        <is>
          <t>Dropdown</t>
        </is>
      </c>
      <c r="D7" s="7" t="inlineStr">
        <is>
          <t>High, Medium, Low, Watch</t>
        </is>
      </c>
      <c r="E7" s="7" t="inlineStr">
        <is>
          <t>High</t>
        </is>
      </c>
      <c r="F7" s="7" t="inlineStr">
        <is>
          <t>Analysis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>
      <c r="A8" s="7" t="inlineStr">
        <is>
          <t>Last Updated</t>
        </is>
      </c>
      <c r="B8" s="7" t="inlineStr">
        <is>
          <t>Core</t>
        </is>
      </c>
      <c r="C8" s="7" t="inlineStr">
        <is>
          <t>Date</t>
        </is>
      </c>
      <c r="D8" s="7" t="inlineStr">
        <is>
          <t>Date of last data update</t>
        </is>
      </c>
      <c r="E8" s="7" t="inlineStr">
        <is>
          <t>2026-01-15</t>
        </is>
      </c>
      <c r="F8" s="7" t="inlineStr">
        <is>
          <t>System</t>
        </is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9">
      <c r="A9" s="7" t="inlineStr">
        <is>
          <t>Pricing Model</t>
        </is>
      </c>
      <c r="B9" s="7" t="inlineStr">
        <is>
          <t>Pricing</t>
        </is>
      </c>
      <c r="C9" s="7" t="inlineStr">
        <is>
          <t>Dropdown</t>
        </is>
      </c>
      <c r="D9" s="7" t="inlineStr">
        <is>
          <t>How they charge customers</t>
        </is>
      </c>
      <c r="E9" s="7" t="inlineStr">
        <is>
          <t>Per Visit</t>
        </is>
      </c>
      <c r="F9" s="7" t="inlineStr">
        <is>
          <t>Pricing Page</t>
        </is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</row>
    <row r="10">
      <c r="A10" s="7" t="inlineStr">
        <is>
          <t>Base Price</t>
        </is>
      </c>
      <c r="B10" s="7" t="inlineStr">
        <is>
          <t>Pricing</t>
        </is>
      </c>
      <c r="C10" s="7" t="inlineStr">
        <is>
          <t>Currency</t>
        </is>
      </c>
      <c r="D10" s="7" t="inlineStr">
        <is>
          <t>Starting/base price</t>
        </is>
      </c>
      <c r="E10" s="7" t="inlineStr">
        <is>
          <t>$3.00</t>
        </is>
      </c>
      <c r="F10" s="7" t="inlineStr">
        <is>
          <t>Pricing Page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</row>
    <row r="11">
      <c r="A11" s="7" t="inlineStr">
        <is>
          <t>Customer Count</t>
        </is>
      </c>
      <c r="B11" s="7" t="inlineStr">
        <is>
          <t>Market</t>
        </is>
      </c>
      <c r="C11" s="7" t="inlineStr">
        <is>
          <t>Number</t>
        </is>
      </c>
      <c r="D11" s="7" t="inlineStr">
        <is>
          <t>Estimated customer count</t>
        </is>
      </c>
      <c r="E11" s="7" t="inlineStr">
        <is>
          <t>3000+</t>
        </is>
      </c>
      <c r="F11" s="7" t="inlineStr">
        <is>
          <t>Website/PR</t>
        </is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</row>
    <row r="12">
      <c r="A12" s="7" t="inlineStr">
        <is>
          <t>Employee Count</t>
        </is>
      </c>
      <c r="B12" s="7" t="inlineStr">
        <is>
          <t>Company</t>
        </is>
      </c>
      <c r="C12" s="7" t="inlineStr">
        <is>
          <t>Number</t>
        </is>
      </c>
      <c r="D12" s="7" t="inlineStr">
        <is>
          <t>Current headcount</t>
        </is>
      </c>
      <c r="E12" s="7" t="inlineStr">
        <is>
          <t>1500</t>
        </is>
      </c>
      <c r="F12" s="7" t="inlineStr">
        <is>
          <t>LinkedIn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</row>
    <row r="13">
      <c r="A13" s="7" t="inlineStr">
        <is>
          <t>Funding Total</t>
        </is>
      </c>
      <c r="B13" s="7" t="inlineStr">
        <is>
          <t>Company</t>
        </is>
      </c>
      <c r="C13" s="7" t="inlineStr">
        <is>
          <t>Currency</t>
        </is>
      </c>
      <c r="D13" s="7" t="inlineStr">
        <is>
          <t>Total funding raised</t>
        </is>
      </c>
      <c r="E13" s="7" t="inlineStr">
        <is>
          <t>$300M</t>
        </is>
      </c>
      <c r="F13" s="7" t="inlineStr">
        <is>
          <t>Crunchbase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2026-01-17T05:34:34Z</dcterms:created>
  <dcterms:modified xmlns:dcterms="http://purl.org/dc/terms/" xmlns:xsi="http://www.w3.org/2001/XMLSchema-instance" xsi:type="dcterms:W3CDTF">2026-01-17T05:34:35Z</dcterms:modified>
</cp:coreProperties>
</file>